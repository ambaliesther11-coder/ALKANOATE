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TTA\Doc E\"/>
    </mc:Choice>
  </mc:AlternateContent>
  <xr:revisionPtr revIDLastSave="0" documentId="13_ncr:1_{94B194B4-9E17-4994-9222-E72A8F55303C}" xr6:coauthVersionLast="47" xr6:coauthVersionMax="47" xr10:uidLastSave="{00000000-0000-0000-0000-000000000000}"/>
  <bookViews>
    <workbookView xWindow="-120" yWindow="-120" windowWidth="20730" windowHeight="11040" activeTab="1" xr2:uid="{16C6DBBB-C608-4ACE-B9E1-5560F1B31A9A}"/>
  </bookViews>
  <sheets>
    <sheet name="Analysis" sheetId="2" r:id="rId1"/>
    <sheet name="Dashboard 1" sheetId="1" r:id="rId2"/>
    <sheet name="Dashboard 2" sheetId="4" r:id="rId3"/>
  </sheet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  <pivotCache cacheId="7" r:id="rId11"/>
    <pivotCache cacheId="8" r:id="rId12"/>
    <pivotCache cacheId="9" r:id="rId13"/>
    <pivotCache cacheId="10" r:id="rId14"/>
    <pivotCache cacheId="11" r:id="rId15"/>
    <pivotCache cacheId="12" r:id="rId16"/>
    <pivotCache cacheId="13" r:id="rId17"/>
    <pivotCache cacheId="14" r:id="rId18"/>
    <pivotCache cacheId="15" r:id="rId1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linkIT Grocery Data_3b896c66-b90a-44e3-844e-dc61e0ccc088" name="BlinkIT Grocery Data" connection="Query - BlinkIT Grocery 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EE9C58-D520-4CCA-B5D9-FB126B586D3C}" name="Query - BlinkIT Grocery Data" description="Connection to the 'BlinkIT Grocery Data' query in the workbook." type="100" refreshedVersion="7" minRefreshableVersion="5">
    <extLst>
      <ext xmlns:x15="http://schemas.microsoft.com/office/spreadsheetml/2010/11/main" uri="{DE250136-89BD-433C-8126-D09CA5730AF9}">
        <x15:connection id="31f0ef3d-e8f7-4261-a81b-cf03c48f9325"/>
      </ext>
    </extLst>
  </connection>
  <connection id="2" xr16:uid="{95E66AA4-57FA-491C-A4AB-769408127DBE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<sst xmlns="http://schemas.openxmlformats.org/spreadsheetml/2006/main" count="97" uniqueCount="48">
  <si>
    <t>Total Sales</t>
  </si>
  <si>
    <t>Avg Sales</t>
  </si>
  <si>
    <t xml:space="preserve">No of Items </t>
  </si>
  <si>
    <t>Avg Rating</t>
  </si>
  <si>
    <t>Low Fat</t>
  </si>
  <si>
    <t>Regular</t>
  </si>
  <si>
    <t>Grand Total</t>
  </si>
  <si>
    <t>Item Fat Content</t>
  </si>
  <si>
    <t>Baking Goods</t>
  </si>
  <si>
    <t>Breads</t>
  </si>
  <si>
    <t>Breakfast</t>
  </si>
  <si>
    <t>Canned</t>
  </si>
  <si>
    <t>Dairy</t>
  </si>
  <si>
    <t>Frozen Foods</t>
  </si>
  <si>
    <t>Fruits and Vegetables</t>
  </si>
  <si>
    <t>Hard Drinks</t>
  </si>
  <si>
    <t>Health and Hygiene</t>
  </si>
  <si>
    <t>Household</t>
  </si>
  <si>
    <t>Meat</t>
  </si>
  <si>
    <t>Others</t>
  </si>
  <si>
    <t>Seafood</t>
  </si>
  <si>
    <t>Snack Foods</t>
  </si>
  <si>
    <t>Soft Drinks</t>
  </si>
  <si>
    <t>Starchy Foods</t>
  </si>
  <si>
    <t>Item Type</t>
  </si>
  <si>
    <t>Grocery Store</t>
  </si>
  <si>
    <t>Supermarket Type1</t>
  </si>
  <si>
    <t>Supermarket Type2</t>
  </si>
  <si>
    <t>Supermarket Type3</t>
  </si>
  <si>
    <t>Outlet Type</t>
  </si>
  <si>
    <t>High</t>
  </si>
  <si>
    <t>Medium</t>
  </si>
  <si>
    <t>Small</t>
  </si>
  <si>
    <t>Tier 1</t>
  </si>
  <si>
    <t>Tier 2</t>
  </si>
  <si>
    <t>Tier 3</t>
  </si>
  <si>
    <t>Outlet Size</t>
  </si>
  <si>
    <t>Outlet Location Type</t>
  </si>
  <si>
    <t>Outlet Age</t>
  </si>
  <si>
    <t>0</t>
  </si>
  <si>
    <t>1</t>
  </si>
  <si>
    <t>11</t>
  </si>
  <si>
    <t>3</t>
  </si>
  <si>
    <t>4</t>
  </si>
  <si>
    <t>5</t>
  </si>
  <si>
    <t>6</t>
  </si>
  <si>
    <t>7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</si>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</sst>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&quot;₹&quot;\ #,##0;#,##0\ \-&quot;₹&quot;;&quot;₹&quot;\ #,##0"/>
  </numFmts>
  <fonts count="2" x14ac:knownFonts="1">
    <font>
      <sz val="11"/>
      <color theme="1"/>
      <name val="Calibri"/>
      <family val="2"/>
      <scheme val="minor"/>
    </font>
    <font>
      <sz val="11"/>
      <color theme="7" tint="0.7999816888943144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vertical="center"/>
    </xf>
    <xf numFmtId="165" fontId="0" fillId="0" borderId="0" xfId="0" applyNumberFormat="1"/>
    <xf numFmtId="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1">
    <dxf>
      <alignment vertical="center"/>
    </dxf>
  </dxfs>
  <tableStyles count="0" defaultTableStyle="TableStyleMedium2" defaultPivotStyle="PivotStyleLight16"/>
  <colors>
    <mruColors>
      <color rgb="FF010A26"/>
      <color rgb="FFB6D6F2"/>
      <color rgb="FF011640"/>
      <color rgb="FF400601"/>
      <color rgb="FFF2AF88"/>
      <color rgb="FFA69C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10.xml"/><Relationship Id="rId18" Type="http://schemas.openxmlformats.org/officeDocument/2006/relationships/pivotCacheDefinition" Target="pivotCache/pivotCacheDefinition15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9.xml"/><Relationship Id="rId17" Type="http://schemas.openxmlformats.org/officeDocument/2006/relationships/pivotCacheDefinition" Target="pivotCache/pivotCacheDefinition14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3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24" Type="http://schemas.openxmlformats.org/officeDocument/2006/relationships/powerPivotData" Target="model/item.data"/><Relationship Id="rId5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2.xml"/><Relationship Id="rId23" Type="http://schemas.openxmlformats.org/officeDocument/2006/relationships/sharedStrings" Target="sharedStrings.xml"/><Relationship Id="rId10" Type="http://schemas.openxmlformats.org/officeDocument/2006/relationships/pivotCacheDefinition" Target="pivotCache/pivotCacheDefinition7.xml"/><Relationship Id="rId19" Type="http://schemas.openxmlformats.org/officeDocument/2006/relationships/pivotCacheDefinition" Target="pivotCache/pivotCacheDefinition16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1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microsoft.com/office/2011/relationships/chartColorStyle" Target="colors5.xml"/><Relationship Id="rId1" Type="http://schemas.microsoft.com/office/2011/relationships/chartStyle" Target="style5.xml"/><Relationship Id="rId4" Type="http://schemas.openxmlformats.org/officeDocument/2006/relationships/image" Target="../media/image12.png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charts/_rels/char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charts/_rels/char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TTA excel project.xlsx]Analysis!PivotTable15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3045160439706776E-17"/>
              <c:y val="-0.39169360493705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99542025156610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99542025156610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3045160439706776E-17"/>
              <c:y val="-0.39169360493705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010A2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0"/>
              <c:y val="-0.199542025156610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8.3045160439706776E-17"/>
              <c:y val="-0.39169360493705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Analysis!$F$28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340E-4B12-BEDA-34060073A0A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40E-4B12-BEDA-34060073A0A7}"/>
              </c:ext>
            </c:extLst>
          </c:dPt>
          <c:dLbls>
            <c:dLbl>
              <c:idx val="0"/>
              <c:layout>
                <c:manualLayout>
                  <c:x val="0"/>
                  <c:y val="-0.1995420251566105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10A26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E-4B12-BEDA-34060073A0A7}"/>
                </c:ext>
              </c:extLst>
            </c:dLbl>
            <c:dLbl>
              <c:idx val="1"/>
              <c:layout>
                <c:manualLayout>
                  <c:x val="8.3045160439706776E-17"/>
                  <c:y val="-0.391693604937050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10A26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0E-4B12-BEDA-34060073A0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10A2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Analysis!$E$29:$E$31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Analysis!$F$29:$F$31</c:f>
              <c:numCache>
                <c:formatCode>"₹"\ #,##0;#,##0\ \-"₹";"₹"\ #,##0</c:formatCode>
                <c:ptCount val="2"/>
                <c:pt idx="0">
                  <c:v>140.71388435744063</c:v>
                </c:pt>
                <c:pt idx="1">
                  <c:v>141.50602129075182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0E-4B12-BEDA-34060073A0A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90"/>
        <c:overlap val="100"/>
        <c:axId val="879310304"/>
        <c:axId val="879308224"/>
      </c:barChart>
      <c:catAx>
        <c:axId val="879310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rgbClr val="010A2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79308224"/>
        <c:crosses val="autoZero"/>
        <c:auto val="1"/>
        <c:lblAlgn val="ctr"/>
        <c:lblOffset val="100"/>
        <c:noMultiLvlLbl val="0"/>
      </c:catAx>
      <c:valAx>
        <c:axId val="879308224"/>
        <c:scaling>
          <c:orientation val="minMax"/>
        </c:scaling>
        <c:delete val="1"/>
        <c:axPos val="l"/>
        <c:numFmt formatCode="&quot;₹&quot;\ #,##0;#,##0\ \-&quot;₹&quot;;&quot;₹&quot;\ #,##0" sourceLinked="1"/>
        <c:majorTickMark val="out"/>
        <c:minorTickMark val="none"/>
        <c:tickLblPos val="nextTo"/>
        <c:crossAx val="87931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9050" cap="flat" cmpd="sng" algn="ctr">
      <a:solidFill>
        <a:srgbClr val="B6D6F2"/>
      </a:solidFill>
      <a:round/>
    </a:ln>
    <a:effectLst>
      <a:glow rad="38100">
        <a:srgbClr val="010A26"/>
      </a:glo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TTA excel project.xlsx]Analysis!PivotTable17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0.3547915735455186"/>
              <c:y val="-6.190483618128186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9088328323273401"/>
                  <c:h val="0.16076734700244111"/>
                </c:manualLayout>
              </c15:layout>
            </c:ext>
          </c:extLst>
        </c:dLbl>
      </c:pivotFmt>
      <c:pivotFmt>
        <c:idx val="4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0.2518749338910935"/>
              <c:y val="-6.190483618128073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9868328118549053"/>
                  <c:h val="0.16076734700244111"/>
                </c:manualLayout>
              </c15:layout>
            </c:ext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Analysis!$L$16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FD2A-4372-84B1-CFB531EFE34F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FD2A-4372-84B1-CFB531EFE34F}"/>
              </c:ext>
            </c:extLst>
          </c:dPt>
          <c:dLbls>
            <c:dLbl>
              <c:idx val="0"/>
              <c:layout>
                <c:manualLayout>
                  <c:x val="0.3547915735455186"/>
                  <c:y val="-6.190483618128186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088328323273401"/>
                      <c:h val="0.1607673470024411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FD2A-4372-84B1-CFB531EFE34F}"/>
                </c:ext>
              </c:extLst>
            </c:dLbl>
            <c:dLbl>
              <c:idx val="1"/>
              <c:layout>
                <c:manualLayout>
                  <c:x val="0.2518749338910935"/>
                  <c:y val="-6.190483618128073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868328118549053"/>
                      <c:h val="0.1607673470024411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D2A-4372-84B1-CFB531EFE3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Analysis!$K$17:$K$19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Analysis!$L$17:$L$19</c:f>
              <c:numCache>
                <c:formatCode>0</c:formatCode>
                <c:ptCount val="2"/>
                <c:pt idx="0">
                  <c:v>1008</c:v>
                </c:pt>
                <c:pt idx="1">
                  <c:v>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A-4372-84B1-CFB531EFE34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12180128"/>
        <c:axId val="812177632"/>
      </c:barChart>
      <c:catAx>
        <c:axId val="812180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2177632"/>
        <c:crosses val="autoZero"/>
        <c:auto val="1"/>
        <c:lblAlgn val="ctr"/>
        <c:lblOffset val="100"/>
        <c:noMultiLvlLbl val="0"/>
      </c:catAx>
      <c:valAx>
        <c:axId val="812177632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81218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9050" cap="flat" cmpd="sng" algn="ctr">
      <a:solidFill>
        <a:srgbClr val="B6D6F2"/>
      </a:solidFill>
      <a:round/>
    </a:ln>
    <a:effectLst>
      <a:glow rad="38100">
        <a:srgbClr val="010A26"/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TTA excel project.xlsx]Analysis!PivotTable16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6190966266979065"/>
              <c:y val="2.262542706881420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745821422847016"/>
                  <c:h val="7.8529897312275526E-2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4333333333333333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4333333333333333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6190966266979065"/>
              <c:y val="2.262542706881420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745821422847016"/>
                  <c:h val="7.8529897312275526E-2"/>
                </c:manualLayout>
              </c15:layout>
            </c:ext>
          </c:extLst>
        </c:dLbl>
      </c:pivotFmt>
      <c:pivotFmt>
        <c:idx val="6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0.12271323999884591"/>
              <c:y val="-0.185714146446084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7923641436710648E-2"/>
              <c:y val="-0.189641927527613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679160104986878"/>
                  <c:h val="0.16519687649278106"/>
                </c:manualLayout>
              </c15:layout>
            </c:ext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Analysis!$I$28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3204-483F-BEDB-A2CEBD15757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204-483F-BEDB-A2CEBD157579}"/>
              </c:ext>
            </c:extLst>
          </c:dPt>
          <c:dLbls>
            <c:dLbl>
              <c:idx val="0"/>
              <c:layout>
                <c:manualLayout>
                  <c:x val="0.12271323999884591"/>
                  <c:y val="-0.1857141464460844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04-483F-BEDB-A2CEBD157579}"/>
                </c:ext>
              </c:extLst>
            </c:dLbl>
            <c:dLbl>
              <c:idx val="1"/>
              <c:layout>
                <c:manualLayout>
                  <c:x val="3.7923641436710648E-2"/>
                  <c:y val="-0.1896419275276134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10A26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679160104986878"/>
                      <c:h val="0.1651968764927810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204-483F-BEDB-A2CEBD1575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10A2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Analysis!$H$29:$H$31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Analysis!$I$29:$I$31</c:f>
              <c:numCache>
                <c:formatCode>0.000</c:formatCode>
                <c:ptCount val="2"/>
                <c:pt idx="0">
                  <c:v>3.9216965742251224</c:v>
                </c:pt>
                <c:pt idx="1">
                  <c:v>3.9194943446440451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04-483F-BEDB-A2CEBD1575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72191824"/>
        <c:axId val="872212208"/>
      </c:barChart>
      <c:catAx>
        <c:axId val="872191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10A2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72212208"/>
        <c:crosses val="autoZero"/>
        <c:auto val="1"/>
        <c:lblAlgn val="ctr"/>
        <c:lblOffset val="100"/>
        <c:noMultiLvlLbl val="0"/>
      </c:catAx>
      <c:valAx>
        <c:axId val="872212208"/>
        <c:scaling>
          <c:orientation val="minMax"/>
        </c:scaling>
        <c:delete val="1"/>
        <c:axPos val="b"/>
        <c:numFmt formatCode="0.000" sourceLinked="1"/>
        <c:majorTickMark val="none"/>
        <c:minorTickMark val="none"/>
        <c:tickLblPos val="nextTo"/>
        <c:crossAx val="872191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9050" cap="flat" cmpd="sng" algn="ctr">
      <a:solidFill>
        <a:srgbClr val="B6D6F2"/>
      </a:solidFill>
      <a:round/>
    </a:ln>
    <a:effectLst>
      <a:glow rad="38100">
        <a:srgbClr val="010A26"/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TTA excel project.xlsx]Analysis!PivotTable5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3045160439706776E-17"/>
              <c:y val="-0.39169360493705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99542025156610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99542025156610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3045160439706776E-17"/>
              <c:y val="-0.39169360493705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010A2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0"/>
              <c:y val="-0.199542025156610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8.3045160439706776E-17"/>
              <c:y val="-0.39169360493705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010A2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0"/>
              <c:y val="-0.199542025156610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8.3045160439706776E-17"/>
              <c:y val="-0.39169360493705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010A2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0"/>
              <c:y val="-0.199542025156610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8.3045160439706776E-17"/>
              <c:y val="-0.39169360493705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010A2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1.8019807599534584E-2"/>
              <c:y val="-0.372503026210063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633672919208832"/>
                  <c:h val="0.18313477710190418"/>
                </c:manualLayout>
              </c15:layout>
            </c:ext>
          </c:extLst>
        </c:dLbl>
      </c:pivotFmt>
      <c:pivotFmt>
        <c:idx val="17"/>
        <c:dLbl>
          <c:idx val="0"/>
          <c:layout>
            <c:manualLayout>
              <c:x val="1.2871291142524719E-2"/>
              <c:y val="-0.295039258616587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485156462198943"/>
                  <c:h val="0.17296062281846505"/>
                </c:manualLayout>
              </c15:layout>
            </c:ext>
          </c:extLst>
        </c:dLbl>
      </c:pivotFmt>
      <c:pivotFmt>
        <c:idx val="18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010A2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1.8019807599534584E-2"/>
              <c:y val="-0.372503026210063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633672919208832"/>
                  <c:h val="0.18313477710190418"/>
                </c:manualLayout>
              </c15:layout>
            </c:ext>
          </c:extLst>
        </c:dLbl>
      </c:pivotFmt>
      <c:pivotFmt>
        <c:idx val="20"/>
        <c:dLbl>
          <c:idx val="0"/>
          <c:layout>
            <c:manualLayout>
              <c:x val="1.2871291142524719E-2"/>
              <c:y val="-0.295039258616587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485156462198943"/>
                  <c:h val="0.17296062281846505"/>
                </c:manualLayout>
              </c15:layout>
            </c:ext>
          </c:extLst>
        </c:dLbl>
      </c:pivotFmt>
      <c:pivotFmt>
        <c:idx val="21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010A2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layout>
            <c:manualLayout>
              <c:x val="1.8019807599534584E-2"/>
              <c:y val="-0.372503026210063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633672919208832"/>
                  <c:h val="0.18313477710190418"/>
                </c:manualLayout>
              </c15:layout>
            </c:ext>
          </c:extLst>
        </c:dLbl>
      </c:pivotFmt>
      <c:pivotFmt>
        <c:idx val="23"/>
        <c:dLbl>
          <c:idx val="0"/>
          <c:layout>
            <c:manualLayout>
              <c:x val="1.2871291142524719E-2"/>
              <c:y val="-0.295039258616587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485156462198943"/>
                  <c:h val="0.17296062281846505"/>
                </c:manualLayout>
              </c15:layout>
            </c:ext>
          </c:extLst>
        </c:dLbl>
      </c:pivotFmt>
      <c:pivotFmt>
        <c:idx val="24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010A2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layout>
            <c:manualLayout>
              <c:x val="1.8019807599534584E-2"/>
              <c:y val="-0.372503026210063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633672919208832"/>
                  <c:h val="0.18313477710190418"/>
                </c:manualLayout>
              </c15:layout>
            </c:ext>
          </c:extLst>
        </c:dLbl>
      </c:pivotFmt>
      <c:pivotFmt>
        <c:idx val="26"/>
        <c:dLbl>
          <c:idx val="0"/>
          <c:layout>
            <c:manualLayout>
              <c:x val="1.2871167952347299E-2"/>
              <c:y val="-0.396338198329555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485156462198943"/>
                  <c:h val="0.17296062281846505"/>
                </c:manualLayout>
              </c15:layout>
            </c:ext>
          </c:extLst>
        </c:dLbl>
      </c:pivotFmt>
      <c:pivotFmt>
        <c:idx val="27"/>
        <c:dLbl>
          <c:idx val="0"/>
          <c:layout>
            <c:manualLayout>
              <c:x val="-4.1767083065848603E-3"/>
              <c:y val="-0.4187012815747507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010A2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layout>
            <c:manualLayout>
              <c:x val="1.8019807599534584E-2"/>
              <c:y val="-0.372503026210063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633672919208832"/>
                  <c:h val="0.18313477710190418"/>
                </c:manualLayout>
              </c15:layout>
            </c:ext>
          </c:extLst>
        </c:dLbl>
      </c:pivotFmt>
      <c:pivotFmt>
        <c:idx val="30"/>
        <c:dLbl>
          <c:idx val="0"/>
          <c:layout>
            <c:manualLayout>
              <c:x val="1.2871167952347299E-2"/>
              <c:y val="-0.396338198329555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485156462198943"/>
                  <c:h val="0.17296062281846505"/>
                </c:manualLayout>
              </c15:layout>
            </c:ext>
          </c:extLst>
        </c:dLbl>
      </c:pivotFmt>
      <c:pivotFmt>
        <c:idx val="31"/>
        <c:dLbl>
          <c:idx val="0"/>
          <c:layout>
            <c:manualLayout>
              <c:x val="-4.1767083065848603E-3"/>
              <c:y val="-0.4187012815747507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010A2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layout>
            <c:manualLayout>
              <c:x val="1.8019807599534584E-2"/>
              <c:y val="-0.372503026210063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633672919208832"/>
                  <c:h val="0.18313477710190418"/>
                </c:manualLayout>
              </c15:layout>
            </c:ext>
          </c:extLst>
        </c:dLbl>
      </c:pivotFmt>
      <c:pivotFmt>
        <c:idx val="34"/>
        <c:dLbl>
          <c:idx val="0"/>
          <c:layout>
            <c:manualLayout>
              <c:x val="1.2871167952347299E-2"/>
              <c:y val="-0.396338198329555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485156462198943"/>
                  <c:h val="0.17296062281846505"/>
                </c:manualLayout>
              </c15:layout>
            </c:ext>
          </c:extLst>
        </c:dLbl>
      </c:pivotFmt>
      <c:pivotFmt>
        <c:idx val="35"/>
        <c:dLbl>
          <c:idx val="0"/>
          <c:layout>
            <c:manualLayout>
              <c:x val="-4.1767083065848603E-3"/>
              <c:y val="-0.4187012815747507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010A2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layout>
            <c:manualLayout>
              <c:x val="1.8019807599534584E-2"/>
              <c:y val="-0.372503026210063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633672919208832"/>
                  <c:h val="0.18313477710190418"/>
                </c:manualLayout>
              </c15:layout>
            </c:ext>
          </c:extLst>
        </c:dLbl>
      </c:pivotFmt>
      <c:pivotFmt>
        <c:idx val="38"/>
        <c:dLbl>
          <c:idx val="0"/>
          <c:layout>
            <c:manualLayout>
              <c:x val="1.2871167952347299E-2"/>
              <c:y val="-0.396338198329555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485156462198943"/>
                  <c:h val="0.17296062281846505"/>
                </c:manualLayout>
              </c15:layout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Analysis!$F$1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3563-41BA-9452-79A9B429B9F4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3563-41BA-9452-79A9B429B9F4}"/>
              </c:ext>
            </c:extLst>
          </c:dPt>
          <c:dLbls>
            <c:dLbl>
              <c:idx val="0"/>
              <c:layout>
                <c:manualLayout>
                  <c:x val="1.8019807599534584E-2"/>
                  <c:y val="-0.3725030262100634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10A26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633672919208832"/>
                      <c:h val="0.1831347771019041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3563-41BA-9452-79A9B429B9F4}"/>
                </c:ext>
              </c:extLst>
            </c:dLbl>
            <c:dLbl>
              <c:idx val="1"/>
              <c:layout>
                <c:manualLayout>
                  <c:x val="1.2871167952347299E-2"/>
                  <c:y val="-0.3963381983295552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10A26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485156462198943"/>
                      <c:h val="0.172960622818465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3563-41BA-9452-79A9B429B9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10A2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Analysis!$E$2:$E$3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Analysis!$F$2:$F$3</c:f>
              <c:numCache>
                <c:formatCode>"₹"\ #,##0;#,##0\ \-"₹";"₹"\ #,##0</c:formatCode>
                <c:ptCount val="2"/>
                <c:pt idx="0">
                  <c:v>776318.5</c:v>
                </c:pt>
                <c:pt idx="1">
                  <c:v>425367.1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563-41BA-9452-79A9B429B9F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90"/>
        <c:overlap val="100"/>
        <c:axId val="879310304"/>
        <c:axId val="879308224"/>
      </c:barChart>
      <c:catAx>
        <c:axId val="879310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1" i="0" u="none" strike="noStrike" kern="1200" baseline="0">
                <a:solidFill>
                  <a:srgbClr val="010A2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79308224"/>
        <c:crosses val="autoZero"/>
        <c:auto val="1"/>
        <c:lblAlgn val="ctr"/>
        <c:lblOffset val="100"/>
        <c:noMultiLvlLbl val="0"/>
      </c:catAx>
      <c:valAx>
        <c:axId val="879308224"/>
        <c:scaling>
          <c:orientation val="minMax"/>
        </c:scaling>
        <c:delete val="1"/>
        <c:axPos val="l"/>
        <c:numFmt formatCode="&quot;₹&quot;\ #,##0;#,##0\ \-&quot;₹&quot;;&quot;₹&quot;\ #,##0" sourceLinked="1"/>
        <c:majorTickMark val="out"/>
        <c:minorTickMark val="none"/>
        <c:tickLblPos val="nextTo"/>
        <c:crossAx val="87931030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 w="19050" cap="flat" cmpd="sng" algn="ctr">
      <a:solidFill>
        <a:srgbClr val="B6D6F2"/>
      </a:solidFill>
      <a:round/>
    </a:ln>
    <a:effectLst>
      <a:glow rad="38100">
        <a:srgbClr val="010A26"/>
      </a:glo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TTA excel project.xlsx]Analysis!PivotTable6</c:name>
    <c:fmtId val="1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010A2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010A2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010A2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010A2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solidFill>
              <a:srgbClr val="B6D6F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Analysis!$F$7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solidFill>
                <a:srgbClr val="B6D6F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Analysis!$E$8:$E$24</c:f>
              <c:strCache>
                <c:ptCount val="16"/>
                <c:pt idx="0">
                  <c:v>Baking Goods</c:v>
                </c:pt>
                <c:pt idx="1">
                  <c:v>Breads</c:v>
                </c:pt>
                <c:pt idx="2">
                  <c:v>Breakfast</c:v>
                </c:pt>
                <c:pt idx="3">
                  <c:v>Canned</c:v>
                </c:pt>
                <c:pt idx="4">
                  <c:v>Dairy</c:v>
                </c:pt>
                <c:pt idx="5">
                  <c:v>Frozen Foods</c:v>
                </c:pt>
                <c:pt idx="6">
                  <c:v>Fruits and Vegetables</c:v>
                </c:pt>
                <c:pt idx="7">
                  <c:v>Hard Drinks</c:v>
                </c:pt>
                <c:pt idx="8">
                  <c:v>Health and Hygiene</c:v>
                </c:pt>
                <c:pt idx="9">
                  <c:v>Household</c:v>
                </c:pt>
                <c:pt idx="10">
                  <c:v>Meat</c:v>
                </c:pt>
                <c:pt idx="11">
                  <c:v>Others</c:v>
                </c:pt>
                <c:pt idx="12">
                  <c:v>Seafood</c:v>
                </c:pt>
                <c:pt idx="13">
                  <c:v>Snack Foods</c:v>
                </c:pt>
                <c:pt idx="14">
                  <c:v>Soft Drinks</c:v>
                </c:pt>
                <c:pt idx="15">
                  <c:v>Starchy Foods</c:v>
                </c:pt>
              </c:strCache>
            </c:strRef>
          </c:cat>
          <c:val>
            <c:numRef>
              <c:f>Analysis!$F$8:$F$24</c:f>
              <c:numCache>
                <c:formatCode>"₹"\ #,##0;#,##0\ \-"₹";"₹"\ #,##0</c:formatCode>
                <c:ptCount val="16"/>
                <c:pt idx="0">
                  <c:v>81893.2</c:v>
                </c:pt>
                <c:pt idx="1">
                  <c:v>35379.1</c:v>
                </c:pt>
                <c:pt idx="2">
                  <c:v>15596</c:v>
                </c:pt>
                <c:pt idx="3">
                  <c:v>90702.3</c:v>
                </c:pt>
                <c:pt idx="4">
                  <c:v>101277.4</c:v>
                </c:pt>
                <c:pt idx="5">
                  <c:v>118557.7</c:v>
                </c:pt>
                <c:pt idx="6">
                  <c:v>178124.6</c:v>
                </c:pt>
                <c:pt idx="7">
                  <c:v>29335</c:v>
                </c:pt>
                <c:pt idx="8">
                  <c:v>68026.8</c:v>
                </c:pt>
                <c:pt idx="9">
                  <c:v>135976.29999999999</c:v>
                </c:pt>
                <c:pt idx="10">
                  <c:v>59451.199999999997</c:v>
                </c:pt>
                <c:pt idx="11">
                  <c:v>22452.1</c:v>
                </c:pt>
                <c:pt idx="12">
                  <c:v>9079</c:v>
                </c:pt>
                <c:pt idx="13">
                  <c:v>175437.3</c:v>
                </c:pt>
                <c:pt idx="14">
                  <c:v>58517.2</c:v>
                </c:pt>
                <c:pt idx="15">
                  <c:v>21880.400000000001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1-4749-93B9-9AFD5F5A1F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8876640"/>
        <c:axId val="138882464"/>
      </c:barChart>
      <c:catAx>
        <c:axId val="138876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10A2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8882464"/>
        <c:crosses val="autoZero"/>
        <c:auto val="1"/>
        <c:lblAlgn val="ctr"/>
        <c:lblOffset val="100"/>
        <c:noMultiLvlLbl val="0"/>
      </c:catAx>
      <c:valAx>
        <c:axId val="138882464"/>
        <c:scaling>
          <c:orientation val="minMax"/>
        </c:scaling>
        <c:delete val="1"/>
        <c:axPos val="b"/>
        <c:numFmt formatCode="&quot;₹&quot;\ #,##0;#,##0\ \-&quot;₹&quot;;&quot;₹&quot;\ #,##0" sourceLinked="1"/>
        <c:majorTickMark val="none"/>
        <c:minorTickMark val="none"/>
        <c:tickLblPos val="nextTo"/>
        <c:crossAx val="13887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9050" cap="flat" cmpd="sng" algn="ctr">
      <a:solidFill>
        <a:srgbClr val="B6D6F2"/>
      </a:solidFill>
      <a:round/>
    </a:ln>
    <a:effectLst>
      <a:glow rad="50800">
        <a:srgbClr val="010A26"/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TTA excel project.xlsx]Analysis!PivotTable7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6666666666666666E-2"/>
              <c:y val="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611111111111110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2.5000000000000001E-2"/>
              <c:y val="4.62962962962954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2.5000000000000001E-2"/>
              <c:y val="4.62962962962954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611111111111110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6666666666666666E-2"/>
              <c:y val="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5000033234471856E-2"/>
              <c:y val="-2.688527925961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6110981865942776E-2"/>
              <c:y val="-3.1515153019095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3419933504468707E-2"/>
              <c:y val="1.38033888715527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5000033234471856E-2"/>
              <c:y val="-2.688527925961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6110981865942776E-2"/>
              <c:y val="-3.1515153019095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3419933504468707E-2"/>
              <c:y val="1.38033888715527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5000033234471856E-2"/>
              <c:y val="-2.688527925961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6110981865942776E-2"/>
              <c:y val="-3.1515153019095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3419933504468707E-2"/>
              <c:y val="1.38033888715527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5000033234471856E-2"/>
              <c:y val="-2.688527925961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6110981865942776E-2"/>
              <c:y val="-3.1515153019095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3419933504468707E-2"/>
              <c:y val="1.38033888715527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5000033234471856E-2"/>
              <c:y val="-2.688527925961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6110981865942776E-2"/>
              <c:y val="-3.1515153019095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3419933504468707E-2"/>
              <c:y val="1.38033888715527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187455715066247"/>
          <c:y val="7.8787882547739566E-2"/>
          <c:w val="0.56232247806857205"/>
          <c:h val="0.8266666583949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Analysis!$I$7:$I$8</c:f>
              <c:strCache>
                <c:ptCount val="1"/>
                <c:pt idx="0">
                  <c:v>Low Fat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10A2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Analysis!$H$9:$H$12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Analysis!$I$9:$I$12</c:f>
              <c:numCache>
                <c:formatCode>"₹"\ #,##0;#,##0\ \-"₹";"₹"\ #,##0</c:formatCode>
                <c:ptCount val="4"/>
                <c:pt idx="0">
                  <c:v>99815.5</c:v>
                </c:pt>
                <c:pt idx="1">
                  <c:v>507884.7</c:v>
                </c:pt>
                <c:pt idx="2">
                  <c:v>84844.3</c:v>
                </c:pt>
                <c:pt idx="3">
                  <c:v>83774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6-4670-AA32-8EA6F73C614F}"/>
            </c:ext>
          </c:extLst>
        </c:ser>
        <c:ser>
          <c:idx val="1"/>
          <c:order val="1"/>
          <c:tx>
            <c:strRef>
              <c:f>Analysis!$J$7:$J$8</c:f>
              <c:strCache>
                <c:ptCount val="1"/>
                <c:pt idx="0">
                  <c:v>Regular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F116-4670-AA32-8EA6F73C614F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F116-4670-AA32-8EA6F73C614F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F116-4670-AA32-8EA6F73C614F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F116-4670-AA32-8EA6F73C614F}"/>
              </c:ext>
            </c:extLst>
          </c:dPt>
          <c:dLbls>
            <c:dLbl>
              <c:idx val="0"/>
              <c:layout>
                <c:manualLayout>
                  <c:x val="2.5000033234471856E-2"/>
                  <c:y val="-2.688527925961723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16-4670-AA32-8EA6F73C614F}"/>
                </c:ext>
              </c:extLst>
            </c:dLbl>
            <c:dLbl>
              <c:idx val="1"/>
              <c:layout>
                <c:manualLayout>
                  <c:x val="3.6110981865942776E-2"/>
                  <c:y val="-3.151515301909589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116-4670-AA32-8EA6F73C614F}"/>
                </c:ext>
              </c:extLst>
            </c:dLbl>
            <c:dLbl>
              <c:idx val="2"/>
              <c:layout>
                <c:manualLayout>
                  <c:x val="2.3419933504468707E-2"/>
                  <c:y val="1.380338887155279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16-4670-AA32-8EA6F73C614F}"/>
                </c:ext>
              </c:extLst>
            </c:dLbl>
            <c:dLbl>
              <c:idx val="3"/>
              <c:layout>
                <c:manualLayout>
                  <c:x val="3.0555555555555454E-2"/>
                  <c:y val="-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116-4670-AA32-8EA6F73C61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10A2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Analysis!$H$9:$H$12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Analysis!$J$9:$J$12</c:f>
              <c:numCache>
                <c:formatCode>"₹"\ #,##0;#,##0\ \-"₹";"₹"\ #,##0</c:formatCode>
                <c:ptCount val="4"/>
                <c:pt idx="0">
                  <c:v>52125.8</c:v>
                </c:pt>
                <c:pt idx="1">
                  <c:v>279667</c:v>
                </c:pt>
                <c:pt idx="2">
                  <c:v>46633.3</c:v>
                </c:pt>
                <c:pt idx="3">
                  <c:v>46941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16-4670-AA32-8EA6F73C6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7"/>
        <c:overlap val="-33"/>
        <c:axId val="133519920"/>
        <c:axId val="133514096"/>
      </c:barChart>
      <c:catAx>
        <c:axId val="133519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10A2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3514096"/>
        <c:crosses val="autoZero"/>
        <c:auto val="1"/>
        <c:lblAlgn val="ctr"/>
        <c:lblOffset val="100"/>
        <c:noMultiLvlLbl val="0"/>
      </c:catAx>
      <c:valAx>
        <c:axId val="133514096"/>
        <c:scaling>
          <c:orientation val="minMax"/>
        </c:scaling>
        <c:delete val="1"/>
        <c:axPos val="b"/>
        <c:numFmt formatCode="&quot;₹&quot;\ #,##0;#,##0\ \-&quot;₹&quot;;&quot;₹&quot;\ #,##0" sourceLinked="1"/>
        <c:majorTickMark val="none"/>
        <c:minorTickMark val="none"/>
        <c:tickLblPos val="nextTo"/>
        <c:crossAx val="13351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285512030214134"/>
          <c:y val="9.128661852954513E-2"/>
          <c:w val="0.19658216691415267"/>
          <c:h val="0.249999534717229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9050" cap="flat" cmpd="sng" algn="ctr">
      <a:solidFill>
        <a:srgbClr val="B6D6F2"/>
      </a:solidFill>
      <a:round/>
    </a:ln>
    <a:effectLst>
      <a:glow rad="50800">
        <a:srgbClr val="010A26"/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TTA excel project.xlsx]Analysis!PivotTable8</c:name>
    <c:fmtId val="2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6666666666666666E-2"/>
              <c:y val="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611111111111110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2.5000000000000001E-2"/>
              <c:y val="4.62962962962954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2.5000000000000001E-2"/>
              <c:y val="4.62962962962954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611111111111110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6666666666666666E-2"/>
              <c:y val="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5000033234471856E-2"/>
              <c:y val="-2.688527925961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6110981865942776E-2"/>
              <c:y val="-3.1515153019095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3419933504468707E-2"/>
              <c:y val="1.38033888715527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5000033234471856E-2"/>
              <c:y val="-2.688527925961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6110981865942776E-2"/>
              <c:y val="-3.1515153019095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3419933504468707E-2"/>
              <c:y val="1.38033888715527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5000033234471856E-2"/>
              <c:y val="-2.688527925961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6110981865942776E-2"/>
              <c:y val="-3.1515153019095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3419933504468707E-2"/>
              <c:y val="1.38033888715527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5000033234471856E-2"/>
              <c:y val="-2.688527925961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6110981865942776E-2"/>
              <c:y val="-3.1515153019095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3419933504468707E-2"/>
              <c:y val="1.38033888715527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5000033234471856E-2"/>
              <c:y val="-2.688527925961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6110981865942776E-2"/>
              <c:y val="-3.1515153019095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3419933504468707E-2"/>
              <c:y val="1.38033888715527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5000033234471856E-2"/>
              <c:y val="-2.688527925961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6110981865942776E-2"/>
              <c:y val="-3.1515153019095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3419933504468707E-2"/>
              <c:y val="1.38033888715527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5000033234471856E-2"/>
              <c:y val="-2.688527925961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6110981865942776E-2"/>
              <c:y val="-3.1515153019095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3419933504468707E-2"/>
              <c:y val="1.38033888715527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95299688417497E-2"/>
          <c:y val="7.8787882547739566E-2"/>
          <c:w val="0.85800877826099875"/>
          <c:h val="0.840173074448387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Analysis!$I$16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10A2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Analysis!$H$17:$H$26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9</c:v>
                </c:pt>
                <c:pt idx="8">
                  <c:v>11</c:v>
                </c:pt>
              </c:strCache>
            </c:strRef>
          </c:cat>
          <c:val>
            <c:numRef>
              <c:f>Analysis!$I$17:$I$26</c:f>
              <c:numCache>
                <c:formatCode>"₹"\ #,##0;#,##0\ \-"₹";"₹"\ #,##0</c:formatCode>
                <c:ptCount val="9"/>
                <c:pt idx="0">
                  <c:v>78132.7</c:v>
                </c:pt>
                <c:pt idx="1">
                  <c:v>130477</c:v>
                </c:pt>
                <c:pt idx="2">
                  <c:v>131809.79999999999</c:v>
                </c:pt>
                <c:pt idx="3">
                  <c:v>130942.7</c:v>
                </c:pt>
                <c:pt idx="4">
                  <c:v>132113.4</c:v>
                </c:pt>
                <c:pt idx="5">
                  <c:v>133104</c:v>
                </c:pt>
                <c:pt idx="6">
                  <c:v>204523.6</c:v>
                </c:pt>
                <c:pt idx="7">
                  <c:v>129104.8</c:v>
                </c:pt>
                <c:pt idx="8">
                  <c:v>131477.6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8D-4CD7-91A0-8812FFD51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7"/>
        <c:overlap val="-33"/>
        <c:axId val="133519920"/>
        <c:axId val="133514096"/>
      </c:barChart>
      <c:catAx>
        <c:axId val="133519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10A2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3514096"/>
        <c:crosses val="autoZero"/>
        <c:auto val="1"/>
        <c:lblAlgn val="ctr"/>
        <c:lblOffset val="100"/>
        <c:noMultiLvlLbl val="0"/>
      </c:catAx>
      <c:valAx>
        <c:axId val="133514096"/>
        <c:scaling>
          <c:orientation val="minMax"/>
        </c:scaling>
        <c:delete val="1"/>
        <c:axPos val="b"/>
        <c:numFmt formatCode="&quot;₹&quot;\ #,##0;#,##0\ \-&quot;₹&quot;;&quot;₹&quot;\ #,##0" sourceLinked="1"/>
        <c:majorTickMark val="none"/>
        <c:minorTickMark val="none"/>
        <c:tickLblPos val="nextTo"/>
        <c:crossAx val="133519920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 w="19050" cap="flat" cmpd="sng" algn="ctr">
      <a:solidFill>
        <a:srgbClr val="B6D6F2"/>
      </a:solidFill>
      <a:round/>
    </a:ln>
    <a:effectLst>
      <a:glow rad="50800">
        <a:srgbClr val="010A26"/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TTA excel project.xlsx]Analysis!PivotTable9</c:name>
    <c:fmtId val="1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444444444444443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666666666666667"/>
              <c:y val="-4.243778136006664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88888888888889"/>
              <c:y val="2.77777777777776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444444444444443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88888888888889"/>
              <c:y val="2.77777777777776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666666666666667"/>
              <c:y val="-4.243778136006664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10A26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10A26"/>
          </a:solidFill>
          <a:ln w="19050">
            <a:noFill/>
          </a:ln>
          <a:effectLst/>
        </c:spPr>
        <c:dLbl>
          <c:idx val="0"/>
          <c:layout>
            <c:manualLayout>
              <c:x val="0.14444444444444443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>
              <a:lumMod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388888888888889"/>
              <c:y val="2.77777777777776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B6D6F2"/>
          </a:solidFill>
          <a:ln w="19050">
            <a:noFill/>
          </a:ln>
          <a:effectLst/>
        </c:spPr>
        <c:dLbl>
          <c:idx val="0"/>
          <c:layout>
            <c:manualLayout>
              <c:x val="-0.11666666666666667"/>
              <c:y val="-4.243778136006664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10A26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10A26"/>
          </a:solidFill>
          <a:ln w="19050">
            <a:noFill/>
          </a:ln>
          <a:effectLst/>
        </c:spPr>
        <c:dLbl>
          <c:idx val="0"/>
          <c:layout>
            <c:manualLayout>
              <c:x val="0.14444444444444443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>
              <a:lumMod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388888888888889"/>
              <c:y val="2.77777777777776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B6D6F2"/>
          </a:solidFill>
          <a:ln w="19050">
            <a:noFill/>
          </a:ln>
          <a:effectLst/>
        </c:spPr>
        <c:dLbl>
          <c:idx val="0"/>
          <c:layout>
            <c:manualLayout>
              <c:x val="-0.11666666666666667"/>
              <c:y val="-4.243778136006664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10A26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10A26"/>
          </a:solidFill>
          <a:ln w="19050">
            <a:noFill/>
          </a:ln>
          <a:effectLst/>
        </c:spPr>
        <c:dLbl>
          <c:idx val="0"/>
          <c:layout>
            <c:manualLayout>
              <c:x val="0.14444444444444443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5">
              <a:lumMod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388888888888889"/>
              <c:y val="2.77777777777776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B6D6F2"/>
          </a:solidFill>
          <a:ln w="19050">
            <a:noFill/>
          </a:ln>
          <a:effectLst/>
        </c:spPr>
        <c:dLbl>
          <c:idx val="0"/>
          <c:layout>
            <c:manualLayout>
              <c:x val="-0.11666666666666667"/>
              <c:y val="-4.243778136006664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010A26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010A26"/>
          </a:solidFill>
          <a:ln w="19050">
            <a:noFill/>
          </a:ln>
          <a:effectLst/>
        </c:spPr>
        <c:dLbl>
          <c:idx val="0"/>
          <c:layout>
            <c:manualLayout>
              <c:x val="0.14444444444444443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>
              <a:lumMod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388888888888889"/>
              <c:y val="2.77777777777776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B6D6F2"/>
          </a:solidFill>
          <a:ln w="19050">
            <a:noFill/>
          </a:ln>
          <a:effectLst/>
        </c:spPr>
        <c:dLbl>
          <c:idx val="0"/>
          <c:layout>
            <c:manualLayout>
              <c:x val="-0.11666666666666667"/>
              <c:y val="-4.243778136006664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010A26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010A26"/>
          </a:solidFill>
          <a:ln w="19050">
            <a:noFill/>
          </a:ln>
          <a:effectLst/>
        </c:spPr>
        <c:dLbl>
          <c:idx val="0"/>
          <c:layout>
            <c:manualLayout>
              <c:x val="0.13165761348362112"/>
              <c:y val="-9.59808732103216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>
              <a:lumMod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516756359462548"/>
              <c:y val="6.29129069311926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B6D6F2"/>
          </a:solidFill>
          <a:ln w="19050">
            <a:noFill/>
          </a:ln>
          <a:effectLst/>
        </c:spPr>
        <c:dLbl>
          <c:idx val="0"/>
          <c:layout>
            <c:manualLayout>
              <c:x val="-0.1294536374665854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Analysis!$P$1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10A26"/>
            </a:solidFill>
            <a:ln>
              <a:noFill/>
            </a:ln>
          </c:spPr>
          <c:dPt>
            <c:idx val="0"/>
            <c:bubble3D val="0"/>
            <c:spPr>
              <a:solidFill>
                <a:srgbClr val="010A2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9F-49DC-97B1-23CE77C69215}"/>
              </c:ext>
            </c:extLst>
          </c:dPt>
          <c:dPt>
            <c:idx val="1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C9F-49DC-97B1-23CE77C69215}"/>
              </c:ext>
            </c:extLst>
          </c:dPt>
          <c:dPt>
            <c:idx val="2"/>
            <c:bubble3D val="0"/>
            <c:spPr>
              <a:solidFill>
                <a:srgbClr val="B6D6F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C9F-49DC-97B1-23CE77C69215}"/>
              </c:ext>
            </c:extLst>
          </c:dPt>
          <c:dLbls>
            <c:dLbl>
              <c:idx val="0"/>
              <c:layout>
                <c:manualLayout>
                  <c:x val="0.13165761348362112"/>
                  <c:y val="-9.5980873210321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C9F-49DC-97B1-23CE77C69215}"/>
                </c:ext>
              </c:extLst>
            </c:dLbl>
            <c:dLbl>
              <c:idx val="1"/>
              <c:layout>
                <c:manualLayout>
                  <c:x val="0.1516756359462548"/>
                  <c:y val="6.29129069311926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C9F-49DC-97B1-23CE77C69215}"/>
                </c:ext>
              </c:extLst>
            </c:dLbl>
            <c:dLbl>
              <c:idx val="2"/>
              <c:layout>
                <c:manualLayout>
                  <c:x val="-0.12945363746658545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C9F-49DC-97B1-23CE77C692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10A2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Analysis!$O$2:$O$4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Analysis!$P$2:$P$4</c:f>
              <c:numCache>
                <c:formatCode>0%</c:formatCode>
                <c:ptCount val="3"/>
                <c:pt idx="0">
                  <c:v>0.20720394752171448</c:v>
                </c:pt>
                <c:pt idx="1">
                  <c:v>0.42265364584546899</c:v>
                </c:pt>
                <c:pt idx="2">
                  <c:v>0.37014240663281639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9F-49DC-97B1-23CE77C692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10A26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9050" cap="flat" cmpd="sng" algn="ctr">
      <a:solidFill>
        <a:srgbClr val="B6D6F2"/>
      </a:solidFill>
      <a:round/>
    </a:ln>
    <a:effectLst>
      <a:glow rad="38100">
        <a:srgbClr val="010A26"/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TTA excel project.xlsx]Analysis!PivotTable10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3045160439706776E-17"/>
              <c:y val="-0.39169360493705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99542025156610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99542025156610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3045160439706776E-17"/>
              <c:y val="-0.39169360493705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010A2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0"/>
              <c:y val="-0.199542025156610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8.3045160439706776E-17"/>
              <c:y val="-0.39169360493705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010A2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0"/>
              <c:y val="-0.199542025156610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8.3045160439706776E-17"/>
              <c:y val="-0.39169360493705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010A2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0"/>
              <c:y val="-0.199542025156610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8.3045160439706776E-17"/>
              <c:y val="-0.39169360493705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010A2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1.8019807599534584E-2"/>
              <c:y val="-0.372503026210063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633672919208832"/>
                  <c:h val="0.18313477710190418"/>
                </c:manualLayout>
              </c15:layout>
            </c:ext>
          </c:extLst>
        </c:dLbl>
      </c:pivotFmt>
      <c:pivotFmt>
        <c:idx val="17"/>
        <c:dLbl>
          <c:idx val="0"/>
          <c:layout>
            <c:manualLayout>
              <c:x val="1.2871291142524719E-2"/>
              <c:y val="-0.295039258616587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485156462198943"/>
                  <c:h val="0.17296062281846505"/>
                </c:manualLayout>
              </c15:layout>
            </c:ext>
          </c:extLst>
        </c:dLbl>
      </c:pivotFmt>
      <c:pivotFmt>
        <c:idx val="18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010A2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1.8019807599534584E-2"/>
              <c:y val="-0.372503026210063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633672919208832"/>
                  <c:h val="0.18313477710190418"/>
                </c:manualLayout>
              </c15:layout>
            </c:ext>
          </c:extLst>
        </c:dLbl>
      </c:pivotFmt>
      <c:pivotFmt>
        <c:idx val="20"/>
        <c:dLbl>
          <c:idx val="0"/>
          <c:layout>
            <c:manualLayout>
              <c:x val="1.2871291142524719E-2"/>
              <c:y val="-0.295039258616587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485156462198943"/>
                  <c:h val="0.17296062281846505"/>
                </c:manualLayout>
              </c15:layout>
            </c:ext>
          </c:extLst>
        </c:dLbl>
      </c:pivotFmt>
      <c:pivotFmt>
        <c:idx val="21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010A2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layout>
            <c:manualLayout>
              <c:x val="1.8019807599534584E-2"/>
              <c:y val="-0.372503026210063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633672919208832"/>
                  <c:h val="0.18313477710190418"/>
                </c:manualLayout>
              </c15:layout>
            </c:ext>
          </c:extLst>
        </c:dLbl>
      </c:pivotFmt>
      <c:pivotFmt>
        <c:idx val="23"/>
        <c:dLbl>
          <c:idx val="0"/>
          <c:layout>
            <c:manualLayout>
              <c:x val="1.2871291142524719E-2"/>
              <c:y val="-0.295039258616587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485156462198943"/>
                  <c:h val="0.17296062281846505"/>
                </c:manualLayout>
              </c15:layout>
            </c:ext>
          </c:extLst>
        </c:dLbl>
      </c:pivotFmt>
      <c:pivotFmt>
        <c:idx val="24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010A2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layout>
            <c:manualLayout>
              <c:x val="1.8019807599534584E-2"/>
              <c:y val="-0.372503026210063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633672919208832"/>
                  <c:h val="0.18313477710190418"/>
                </c:manualLayout>
              </c15:layout>
            </c:ext>
          </c:extLst>
        </c:dLbl>
      </c:pivotFmt>
      <c:pivotFmt>
        <c:idx val="26"/>
        <c:dLbl>
          <c:idx val="0"/>
          <c:layout>
            <c:manualLayout>
              <c:x val="1.2871167952347299E-2"/>
              <c:y val="-0.396338198329555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485156462198943"/>
                  <c:h val="0.17296062281846505"/>
                </c:manualLayout>
              </c15:layout>
            </c:ext>
          </c:extLst>
        </c:dLbl>
      </c:pivotFmt>
      <c:pivotFmt>
        <c:idx val="27"/>
        <c:dLbl>
          <c:idx val="0"/>
          <c:layout>
            <c:manualLayout>
              <c:x val="-4.1767083065848603E-3"/>
              <c:y val="-0.4187012815747507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Analysis!$P$8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DE88-450C-A89A-0DE35D918CB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DE88-450C-A89A-0DE35D918CBC}"/>
              </c:ext>
            </c:extLst>
          </c:dPt>
          <c:dLbls>
            <c:dLbl>
              <c:idx val="0"/>
              <c:layout>
                <c:manualLayout>
                  <c:x val="1.8019807599534584E-2"/>
                  <c:y val="-0.3725030262100634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10A26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633672919208832"/>
                      <c:h val="0.1831347771019041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E88-450C-A89A-0DE35D918CBC}"/>
                </c:ext>
              </c:extLst>
            </c:dLbl>
            <c:dLbl>
              <c:idx val="1"/>
              <c:layout>
                <c:manualLayout>
                  <c:x val="1.2871167952347299E-2"/>
                  <c:y val="-0.3963381983295552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10A26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485156462198943"/>
                      <c:h val="0.172960622818465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DE88-450C-A89A-0DE35D918CBC}"/>
                </c:ext>
              </c:extLst>
            </c:dLbl>
            <c:dLbl>
              <c:idx val="2"/>
              <c:layout>
                <c:manualLayout>
                  <c:x val="-4.1767083065848603E-3"/>
                  <c:y val="-0.4187012815747507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010A26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E88-450C-A89A-0DE35D918C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10A2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Analysis!$O$9:$O$12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Analysis!$P$9:$P$12</c:f>
              <c:numCache>
                <c:formatCode>"₹"\ #,##0;#,##0\ \-"₹";"₹"\ #,##0</c:formatCode>
                <c:ptCount val="3"/>
                <c:pt idx="0">
                  <c:v>336399</c:v>
                </c:pt>
                <c:pt idx="1">
                  <c:v>393151.5</c:v>
                </c:pt>
                <c:pt idx="2">
                  <c:v>472135.1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88-450C-A89A-0DE35D918CB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90"/>
        <c:overlap val="100"/>
        <c:axId val="879310304"/>
        <c:axId val="879308224"/>
      </c:barChart>
      <c:catAx>
        <c:axId val="879310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1" i="0" u="none" strike="noStrike" kern="1200" baseline="0">
                <a:solidFill>
                  <a:srgbClr val="010A2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79308224"/>
        <c:crosses val="autoZero"/>
        <c:auto val="1"/>
        <c:lblAlgn val="ctr"/>
        <c:lblOffset val="100"/>
        <c:noMultiLvlLbl val="0"/>
      </c:catAx>
      <c:valAx>
        <c:axId val="879308224"/>
        <c:scaling>
          <c:orientation val="minMax"/>
        </c:scaling>
        <c:delete val="1"/>
        <c:axPos val="l"/>
        <c:numFmt formatCode="&quot;₹&quot;\ #,##0;#,##0\ \-&quot;₹&quot;;&quot;₹&quot;\ #,##0" sourceLinked="1"/>
        <c:majorTickMark val="out"/>
        <c:minorTickMark val="none"/>
        <c:tickLblPos val="nextTo"/>
        <c:crossAx val="87931030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 w="19050" cap="flat" cmpd="sng" algn="ctr">
      <a:solidFill>
        <a:srgbClr val="B6D6F2"/>
      </a:solidFill>
      <a:round/>
    </a:ln>
    <a:effectLst>
      <a:glow rad="38100">
        <a:srgbClr val="010A26"/>
      </a:glo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TTA excel project.xlsx]Analysis!PivotTable18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6666666666666666E-2"/>
              <c:y val="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611111111111110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2.5000000000000001E-2"/>
              <c:y val="4.62962962962954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2.5000000000000001E-2"/>
              <c:y val="4.62962962962954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611111111111110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6666666666666666E-2"/>
              <c:y val="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5000033234471856E-2"/>
              <c:y val="-2.688527925961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6110981865942776E-2"/>
              <c:y val="-3.1515153019095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3419933504468707E-2"/>
              <c:y val="1.38033888715527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5000033234471856E-2"/>
              <c:y val="-2.688527925961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6110981865942776E-2"/>
              <c:y val="-3.1515153019095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3419933504468707E-2"/>
              <c:y val="1.38033888715527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5000033234471856E-2"/>
              <c:y val="-2.688527925961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6110981865942776E-2"/>
              <c:y val="-3.1515153019095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3419933504468707E-2"/>
              <c:y val="1.38033888715527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5000033234471856E-2"/>
              <c:y val="-2.688527925961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6110981865942776E-2"/>
              <c:y val="-3.1515153019095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3419933504468707E-2"/>
              <c:y val="1.38033888715527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5000033234471856E-2"/>
              <c:y val="-2.688527925961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6110981865942776E-2"/>
              <c:y val="-3.1515153019095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3419933504468707E-2"/>
              <c:y val="1.38033888715527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5000033234471856E-2"/>
              <c:y val="-2.688527925961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6110981865942776E-2"/>
              <c:y val="-3.1515153019095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3419933504468707E-2"/>
              <c:y val="1.38033888715527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5000033234471856E-2"/>
              <c:y val="-2.688527925961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6110981865942776E-2"/>
              <c:y val="-3.1515153019095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3419933504468707E-2"/>
              <c:y val="1.38033888715527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7955087035899993"/>
          <c:y val="7.8787882547739566E-2"/>
          <c:w val="0.56232235274369768"/>
          <c:h val="0.8266666583949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Analysis!$T$1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10A2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Analysis!$S$2:$S$6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Analysis!$T$2:$T$6</c:f>
              <c:numCache>
                <c:formatCode>"₹"\ #,##0;#,##0\ \-"₹";"₹"\ #,##0</c:formatCode>
                <c:ptCount val="4"/>
                <c:pt idx="0">
                  <c:v>151941.29999999999</c:v>
                </c:pt>
                <c:pt idx="1">
                  <c:v>787551.7</c:v>
                </c:pt>
                <c:pt idx="2">
                  <c:v>131477.6</c:v>
                </c:pt>
                <c:pt idx="3">
                  <c:v>130715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96-494F-89A1-D12B44687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7"/>
        <c:overlap val="-33"/>
        <c:axId val="133519920"/>
        <c:axId val="133514096"/>
      </c:barChart>
      <c:catAx>
        <c:axId val="133519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10A2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3514096"/>
        <c:crosses val="autoZero"/>
        <c:auto val="1"/>
        <c:lblAlgn val="ctr"/>
        <c:lblOffset val="100"/>
        <c:noMultiLvlLbl val="0"/>
      </c:catAx>
      <c:valAx>
        <c:axId val="133514096"/>
        <c:scaling>
          <c:orientation val="minMax"/>
        </c:scaling>
        <c:delete val="1"/>
        <c:axPos val="b"/>
        <c:numFmt formatCode="&quot;₹&quot;\ #,##0;#,##0\ \-&quot;₹&quot;;&quot;₹&quot;\ #,##0" sourceLinked="1"/>
        <c:majorTickMark val="none"/>
        <c:minorTickMark val="none"/>
        <c:tickLblPos val="nextTo"/>
        <c:crossAx val="133519920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 w="19050" cap="flat" cmpd="sng" algn="ctr">
      <a:solidFill>
        <a:srgbClr val="B6D6F2"/>
      </a:solidFill>
      <a:round/>
    </a:ln>
    <a:effectLst>
      <a:glow rad="50800">
        <a:srgbClr val="010A26"/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TTA excel project.xlsx]Analysis!PivotTable11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6666666666666666E-2"/>
              <c:y val="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611111111111110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2.5000000000000001E-2"/>
              <c:y val="4.62962962962954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2.5000000000000001E-2"/>
              <c:y val="4.62962962962954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611111111111110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6666666666666666E-2"/>
              <c:y val="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5000033234471856E-2"/>
              <c:y val="-2.688527925961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6110981865942776E-2"/>
              <c:y val="-3.1515153019095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3419933504468707E-2"/>
              <c:y val="1.38033888715527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5000033234471856E-2"/>
              <c:y val="-2.688527925961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6110981865942776E-2"/>
              <c:y val="-3.1515153019095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3419933504468707E-2"/>
              <c:y val="1.38033888715527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5000033234471856E-2"/>
              <c:y val="-2.688527925961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6110981865942776E-2"/>
              <c:y val="-3.1515153019095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3419933504468707E-2"/>
              <c:y val="1.38033888715527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5000033234471856E-2"/>
              <c:y val="-2.688527925961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6110981865942776E-2"/>
              <c:y val="-3.1515153019095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3419933504468707E-2"/>
              <c:y val="1.38033888715527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5000033234471856E-2"/>
              <c:y val="-2.688527925961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6110981865942776E-2"/>
              <c:y val="-3.1515153019095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3419933504468707E-2"/>
              <c:y val="1.38033888715527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5000033234471856E-2"/>
              <c:y val="-2.688527925961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6110981865942776E-2"/>
              <c:y val="-3.1515153019095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3419933504468707E-2"/>
              <c:y val="1.38033888715527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5000033234471856E-2"/>
              <c:y val="-2.688527925961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6110981865942776E-2"/>
              <c:y val="-3.1515153019095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2.3419933504468707E-2"/>
              <c:y val="1.38033888715527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layout>
            <c:manualLayout>
              <c:x val="2.5000033234471856E-2"/>
              <c:y val="-2.6885279259617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layout>
            <c:manualLayout>
              <c:x val="3.6110981865942776E-2"/>
              <c:y val="-3.15151530190958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layout>
            <c:manualLayout>
              <c:x val="2.3419933504468707E-2"/>
              <c:y val="1.38033888715527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layout>
            <c:manualLayout>
              <c:x val="3.0555555555555454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0630955423877135"/>
          <c:y val="7.8787882547739566E-2"/>
          <c:w val="0.54491670201517328"/>
          <c:h val="0.8266666583949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Analysis!$P$15</c:f>
              <c:strCache>
                <c:ptCount val="1"/>
                <c:pt idx="0">
                  <c:v>No of Items 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10A2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Analysis!$O$16:$O$20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Analysis!$P$16:$P$20</c:f>
              <c:numCache>
                <c:formatCode>0</c:formatCode>
                <c:ptCount val="4"/>
                <c:pt idx="0">
                  <c:v>901</c:v>
                </c:pt>
                <c:pt idx="1">
                  <c:v>1550</c:v>
                </c:pt>
                <c:pt idx="2">
                  <c:v>928</c:v>
                </c:pt>
                <c:pt idx="3">
                  <c:v>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B2-4D4B-B069-8F453C3F1F1E}"/>
            </c:ext>
          </c:extLst>
        </c:ser>
        <c:ser>
          <c:idx val="1"/>
          <c:order val="1"/>
          <c:tx>
            <c:strRef>
              <c:f>Analysis!$Q$15</c:f>
              <c:strCache>
                <c:ptCount val="1"/>
                <c:pt idx="0">
                  <c:v>Avg Sales</c:v>
                </c:pt>
              </c:strCache>
            </c:strRef>
          </c:tx>
          <c:spPr>
            <a:blipFill>
              <a:blip xmlns:r="http://schemas.openxmlformats.org/officeDocument/2006/relationships" r:embed="rId2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91B2-4D4B-B069-8F453C3F1F1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91B2-4D4B-B069-8F453C3F1F1E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91B2-4D4B-B069-8F453C3F1F1E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91B2-4D4B-B069-8F453C3F1F1E}"/>
              </c:ext>
            </c:extLst>
          </c:dPt>
          <c:dLbls>
            <c:dLbl>
              <c:idx val="0"/>
              <c:layout>
                <c:manualLayout>
                  <c:x val="2.5000033234471856E-2"/>
                  <c:y val="-2.688527925961723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1B2-4D4B-B069-8F453C3F1F1E}"/>
                </c:ext>
              </c:extLst>
            </c:dLbl>
            <c:dLbl>
              <c:idx val="1"/>
              <c:layout>
                <c:manualLayout>
                  <c:x val="3.6110981865942776E-2"/>
                  <c:y val="-3.151515301909589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1B2-4D4B-B069-8F453C3F1F1E}"/>
                </c:ext>
              </c:extLst>
            </c:dLbl>
            <c:dLbl>
              <c:idx val="2"/>
              <c:layout>
                <c:manualLayout>
                  <c:x val="2.3419933504468707E-2"/>
                  <c:y val="1.380338887155279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1B2-4D4B-B069-8F453C3F1F1E}"/>
                </c:ext>
              </c:extLst>
            </c:dLbl>
            <c:dLbl>
              <c:idx val="3"/>
              <c:layout>
                <c:manualLayout>
                  <c:x val="3.0555555555555454E-2"/>
                  <c:y val="-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1B2-4D4B-B069-8F453C3F1F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10A2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Analysis!$O$16:$O$20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Analysis!$Q$16:$Q$20</c:f>
              <c:numCache>
                <c:formatCode>"₹"\ #,##0;#,##0\ \-"₹";"₹"\ #,##0</c:formatCode>
                <c:ptCount val="4"/>
                <c:pt idx="0">
                  <c:v>140.29667590027699</c:v>
                </c:pt>
                <c:pt idx="1">
                  <c:v>141.21421911421911</c:v>
                </c:pt>
                <c:pt idx="2">
                  <c:v>141.67844827586208</c:v>
                </c:pt>
                <c:pt idx="3">
                  <c:v>139.80213903743316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1B2-4D4B-B069-8F453C3F1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7"/>
        <c:overlap val="-33"/>
        <c:axId val="133519920"/>
        <c:axId val="133514096"/>
      </c:barChart>
      <c:catAx>
        <c:axId val="133519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10A2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3514096"/>
        <c:crosses val="autoZero"/>
        <c:auto val="1"/>
        <c:lblAlgn val="ctr"/>
        <c:lblOffset val="100"/>
        <c:noMultiLvlLbl val="0"/>
      </c:catAx>
      <c:valAx>
        <c:axId val="133514096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133519920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 w="19050" cap="flat" cmpd="sng" algn="ctr">
      <a:solidFill>
        <a:srgbClr val="B6D6F2"/>
      </a:solidFill>
      <a:round/>
    </a:ln>
    <a:effectLst>
      <a:glow rad="50800">
        <a:srgbClr val="010A26"/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TTA excel project.xlsx]Analysis!PivotTable19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6190966266979065"/>
              <c:y val="2.262542706881420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745821422847016"/>
                  <c:h val="7.8529897312275526E-2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4333333333333333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4333333333333333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6190966266979065"/>
              <c:y val="2.262542706881420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745821422847016"/>
                  <c:h val="7.8529897312275526E-2"/>
                </c:manualLayout>
              </c15:layout>
            </c:ext>
          </c:extLst>
        </c:dLbl>
      </c:pivotFmt>
      <c:pivotFmt>
        <c:idx val="6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0.12271323999884591"/>
              <c:y val="-0.185714146446084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7923641436710648E-2"/>
              <c:y val="-0.189641927527613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679160104986878"/>
                  <c:h val="0.16519687649278106"/>
                </c:manualLayout>
              </c15:layout>
            </c:ext>
          </c:extLst>
        </c:dLbl>
      </c:pivotFmt>
      <c:pivotFmt>
        <c:idx val="9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0.12271323999884591"/>
              <c:y val="-0.185714146446084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3.7923641436710648E-2"/>
              <c:y val="-0.189641927527613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679160104986878"/>
                  <c:h val="0.16519687649278106"/>
                </c:manualLayout>
              </c15:layout>
            </c:ext>
          </c:extLst>
        </c:dLbl>
      </c:pivotFmt>
      <c:pivotFmt>
        <c:idx val="12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0.12271323999884591"/>
              <c:y val="-0.185714146446084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3.7923641436710648E-2"/>
              <c:y val="-0.189641927527613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679160104986878"/>
                  <c:h val="0.16519687649278106"/>
                </c:manualLayout>
              </c15:layout>
            </c:ext>
          </c:extLst>
        </c:dLbl>
      </c:pivotFmt>
      <c:pivotFmt>
        <c:idx val="15"/>
        <c:spPr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0.30339117318540432"/>
              <c:y val="-0.399450114352830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layout>
            <c:manualLayout>
              <c:x val="0.19802125178223004"/>
              <c:y val="-1.52773078278985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746966868996846"/>
                  <c:h val="0.17644615142050837"/>
                </c:manualLayout>
              </c15:layout>
            </c:ext>
          </c:extLst>
        </c:dLbl>
      </c:pivotFmt>
      <c:pivotFmt>
        <c:idx val="18"/>
        <c:dLbl>
          <c:idx val="0"/>
          <c:layout>
            <c:manualLayout>
              <c:x val="0.20711864959612036"/>
              <c:y val="-1.1249271454663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0.29937024688029484"/>
              <c:y val="0.3599766865492372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10A2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Analysis!$T$9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85D8-4BFB-951E-8C42235E147A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85D8-4BFB-951E-8C42235E147A}"/>
              </c:ext>
            </c:extLst>
          </c:dPt>
          <c:dLbls>
            <c:dLbl>
              <c:idx val="0"/>
              <c:layout>
                <c:manualLayout>
                  <c:x val="0.30339117318540432"/>
                  <c:y val="-0.3994501143528303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5D8-4BFB-951E-8C42235E147A}"/>
                </c:ext>
              </c:extLst>
            </c:dLbl>
            <c:dLbl>
              <c:idx val="1"/>
              <c:layout>
                <c:manualLayout>
                  <c:x val="0.19802125178223004"/>
                  <c:y val="-1.527730782789854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10A26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746966868996846"/>
                      <c:h val="0.176446151420508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85D8-4BFB-951E-8C42235E147A}"/>
                </c:ext>
              </c:extLst>
            </c:dLbl>
            <c:dLbl>
              <c:idx val="2"/>
              <c:layout>
                <c:manualLayout>
                  <c:x val="0.29937024688029484"/>
                  <c:y val="0.3599766865492372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5D8-4BFB-951E-8C42235E147A}"/>
                </c:ext>
              </c:extLst>
            </c:dLbl>
            <c:dLbl>
              <c:idx val="3"/>
              <c:layout>
                <c:manualLayout>
                  <c:x val="0.20711864959612036"/>
                  <c:y val="-1.12492714546636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5D8-4BFB-951E-8C42235E14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10A2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Analysis!$S$10:$S$14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Analysis!$T$10:$T$14</c:f>
              <c:numCache>
                <c:formatCode>0.000</c:formatCode>
                <c:ptCount val="4"/>
                <c:pt idx="0">
                  <c:v>3.9335180055401664</c:v>
                </c:pt>
                <c:pt idx="1">
                  <c:v>3.917339071185225</c:v>
                </c:pt>
                <c:pt idx="2">
                  <c:v>3.9342672413793105</c:v>
                </c:pt>
                <c:pt idx="3">
                  <c:v>3.9144385026737969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5D8-4BFB-951E-8C42235E147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72191824"/>
        <c:axId val="872212208"/>
      </c:barChart>
      <c:catAx>
        <c:axId val="872191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10A2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72212208"/>
        <c:crosses val="autoZero"/>
        <c:auto val="1"/>
        <c:lblAlgn val="ctr"/>
        <c:lblOffset val="100"/>
        <c:noMultiLvlLbl val="0"/>
      </c:catAx>
      <c:valAx>
        <c:axId val="872212208"/>
        <c:scaling>
          <c:orientation val="minMax"/>
        </c:scaling>
        <c:delete val="1"/>
        <c:axPos val="b"/>
        <c:numFmt formatCode="0.000" sourceLinked="1"/>
        <c:majorTickMark val="none"/>
        <c:minorTickMark val="none"/>
        <c:tickLblPos val="nextTo"/>
        <c:crossAx val="87219182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 w="19050" cap="flat" cmpd="sng" algn="ctr">
      <a:solidFill>
        <a:srgbClr val="B6D6F2"/>
      </a:solidFill>
      <a:round/>
    </a:ln>
    <a:effectLst>
      <a:glow rad="38100">
        <a:srgbClr val="010A26"/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12" Type="http://schemas.openxmlformats.org/officeDocument/2006/relationships/image" Target="../media/image9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11" Type="http://schemas.openxmlformats.org/officeDocument/2006/relationships/image" Target="../media/image8.svg"/><Relationship Id="rId5" Type="http://schemas.openxmlformats.org/officeDocument/2006/relationships/chart" Target="../charts/chart3.xml"/><Relationship Id="rId10" Type="http://schemas.openxmlformats.org/officeDocument/2006/relationships/image" Target="../media/image7.png"/><Relationship Id="rId4" Type="http://schemas.openxmlformats.org/officeDocument/2006/relationships/chart" Target="../charts/chart2.xml"/><Relationship Id="rId9" Type="http://schemas.openxmlformats.org/officeDocument/2006/relationships/image" Target="../media/image6.svg"/><Relationship Id="rId14" Type="http://schemas.openxmlformats.org/officeDocument/2006/relationships/hyperlink" Target="#'Dashboard 2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Dashboard 1'!A1"/><Relationship Id="rId13" Type="http://schemas.openxmlformats.org/officeDocument/2006/relationships/image" Target="../media/image14.svg"/><Relationship Id="rId18" Type="http://schemas.openxmlformats.org/officeDocument/2006/relationships/chart" Target="../charts/chart12.xml"/><Relationship Id="rId3" Type="http://schemas.openxmlformats.org/officeDocument/2006/relationships/image" Target="../media/image7.png"/><Relationship Id="rId7" Type="http://schemas.openxmlformats.org/officeDocument/2006/relationships/chart" Target="../charts/chart6.xml"/><Relationship Id="rId12" Type="http://schemas.openxmlformats.org/officeDocument/2006/relationships/image" Target="../media/image13.png"/><Relationship Id="rId17" Type="http://schemas.openxmlformats.org/officeDocument/2006/relationships/chart" Target="../charts/chart11.xml"/><Relationship Id="rId2" Type="http://schemas.microsoft.com/office/2007/relationships/hdphoto" Target="../media/hdphoto1.wdp"/><Relationship Id="rId16" Type="http://schemas.openxmlformats.org/officeDocument/2006/relationships/chart" Target="../charts/chart10.xml"/><Relationship Id="rId20" Type="http://schemas.openxmlformats.org/officeDocument/2006/relationships/image" Target="../media/image18.svg"/><Relationship Id="rId1" Type="http://schemas.openxmlformats.org/officeDocument/2006/relationships/image" Target="../media/image1.png"/><Relationship Id="rId6" Type="http://schemas.openxmlformats.org/officeDocument/2006/relationships/image" Target="../media/image10.svg"/><Relationship Id="rId11" Type="http://schemas.openxmlformats.org/officeDocument/2006/relationships/chart" Target="../charts/chart9.xml"/><Relationship Id="rId5" Type="http://schemas.openxmlformats.org/officeDocument/2006/relationships/image" Target="../media/image9.png"/><Relationship Id="rId15" Type="http://schemas.openxmlformats.org/officeDocument/2006/relationships/image" Target="../media/image16.svg"/><Relationship Id="rId10" Type="http://schemas.openxmlformats.org/officeDocument/2006/relationships/chart" Target="../charts/chart8.xml"/><Relationship Id="rId19" Type="http://schemas.openxmlformats.org/officeDocument/2006/relationships/image" Target="../media/image17.png"/><Relationship Id="rId4" Type="http://schemas.openxmlformats.org/officeDocument/2006/relationships/image" Target="../media/image8.svg"/><Relationship Id="rId9" Type="http://schemas.openxmlformats.org/officeDocument/2006/relationships/chart" Target="../charts/chart7.xml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6464</xdr:colOff>
      <xdr:row>0</xdr:row>
      <xdr:rowOff>87969</xdr:rowOff>
    </xdr:from>
    <xdr:to>
      <xdr:col>21</xdr:col>
      <xdr:colOff>158750</xdr:colOff>
      <xdr:row>26</xdr:row>
      <xdr:rowOff>192700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BE6EC0B-46F4-4CFE-B767-B3D2A773E750}"/>
            </a:ext>
          </a:extLst>
        </xdr:cNvPr>
        <xdr:cNvSpPr/>
      </xdr:nvSpPr>
      <xdr:spPr>
        <a:xfrm>
          <a:off x="2448772" y="87969"/>
          <a:ext cx="10654209" cy="5184731"/>
        </a:xfrm>
        <a:prstGeom prst="roundRect">
          <a:avLst>
            <a:gd name="adj" fmla="val 5126"/>
          </a:avLst>
        </a:prstGeom>
        <a:noFill/>
        <a:ln w="88900">
          <a:solidFill>
            <a:srgbClr val="010A2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109903</xdr:colOff>
      <xdr:row>0</xdr:row>
      <xdr:rowOff>180489</xdr:rowOff>
    </xdr:from>
    <xdr:to>
      <xdr:col>21</xdr:col>
      <xdr:colOff>48846</xdr:colOff>
      <xdr:row>26</xdr:row>
      <xdr:rowOff>119431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5838E9-057E-40E1-AAC4-6110DC4BB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2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FilmGrain/>
                  </a14:imgEffect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211" y="180489"/>
          <a:ext cx="10440866" cy="5018942"/>
        </a:xfrm>
        <a:prstGeom prst="rect">
          <a:avLst/>
        </a:prstGeom>
      </xdr:spPr>
    </xdr:pic>
    <xdr:clientData/>
  </xdr:twoCellAnchor>
  <xdr:twoCellAnchor>
    <xdr:from>
      <xdr:col>4</xdr:col>
      <xdr:colOff>459584</xdr:colOff>
      <xdr:row>3</xdr:row>
      <xdr:rowOff>79923</xdr:rowOff>
    </xdr:from>
    <xdr:to>
      <xdr:col>7</xdr:col>
      <xdr:colOff>488461</xdr:colOff>
      <xdr:row>7</xdr:row>
      <xdr:rowOff>119431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5258A5D-640A-48B4-9D22-C8056F3634A1}"/>
            </a:ext>
          </a:extLst>
        </xdr:cNvPr>
        <xdr:cNvSpPr/>
      </xdr:nvSpPr>
      <xdr:spPr>
        <a:xfrm>
          <a:off x="2901892" y="666077"/>
          <a:ext cx="1982723" cy="821046"/>
        </a:xfrm>
        <a:prstGeom prst="roundRect">
          <a:avLst>
            <a:gd name="adj" fmla="val 50000"/>
          </a:avLst>
        </a:prstGeom>
        <a:solidFill>
          <a:srgbClr val="010A26"/>
        </a:solidFill>
        <a:ln w="31750">
          <a:solidFill>
            <a:srgbClr val="B6D6F2"/>
          </a:solidFill>
        </a:ln>
        <a:effectLst>
          <a:outerShdw blurRad="50800" dist="50800" dir="5400000" algn="ctr" rotWithShape="0">
            <a:srgbClr val="010A26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696059</xdr:colOff>
      <xdr:row>0</xdr:row>
      <xdr:rowOff>149026</xdr:rowOff>
    </xdr:from>
    <xdr:to>
      <xdr:col>12</xdr:col>
      <xdr:colOff>85481</xdr:colOff>
      <xdr:row>3</xdr:row>
      <xdr:rowOff>9671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BFB93F2-CED6-4BB5-8BE0-CBAC13D2EFAF}"/>
            </a:ext>
          </a:extLst>
        </xdr:cNvPr>
        <xdr:cNvSpPr txBox="1"/>
      </xdr:nvSpPr>
      <xdr:spPr>
        <a:xfrm>
          <a:off x="3138367" y="149026"/>
          <a:ext cx="4396152" cy="4467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800" b="1" i="1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blinkit</a:t>
          </a:r>
          <a:r>
            <a:rPr lang="en-US" sz="2800" b="1" i="1" baseline="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Analysis Dashboard</a:t>
          </a:r>
        </a:p>
      </xdr:txBody>
    </xdr:sp>
    <xdr:clientData/>
  </xdr:twoCellAnchor>
  <xdr:twoCellAnchor>
    <xdr:from>
      <xdr:col>8</xdr:col>
      <xdr:colOff>428811</xdr:colOff>
      <xdr:row>3</xdr:row>
      <xdr:rowOff>110207</xdr:rowOff>
    </xdr:from>
    <xdr:to>
      <xdr:col>11</xdr:col>
      <xdr:colOff>579803</xdr:colOff>
      <xdr:row>7</xdr:row>
      <xdr:rowOff>149715</xdr:rowOff>
    </xdr:to>
    <xdr:sp macro="" textlink="">
      <xdr:nvSpPr>
        <xdr:cNvPr id="49" name="Rectangle: Rounded Corners 48">
          <a:extLst>
            <a:ext uri="{FF2B5EF4-FFF2-40B4-BE49-F238E27FC236}">
              <a16:creationId xmlns:a16="http://schemas.microsoft.com/office/drawing/2014/main" id="{D58D612D-9855-4F20-8F75-B84BB0F29E0F}"/>
            </a:ext>
          </a:extLst>
        </xdr:cNvPr>
        <xdr:cNvSpPr/>
      </xdr:nvSpPr>
      <xdr:spPr>
        <a:xfrm>
          <a:off x="5435542" y="696361"/>
          <a:ext cx="1982723" cy="821046"/>
        </a:xfrm>
        <a:prstGeom prst="roundRect">
          <a:avLst>
            <a:gd name="adj" fmla="val 50000"/>
          </a:avLst>
        </a:prstGeom>
        <a:solidFill>
          <a:srgbClr val="010A26"/>
        </a:solidFill>
        <a:ln w="31750">
          <a:solidFill>
            <a:srgbClr val="B6D6F2"/>
          </a:solidFill>
        </a:ln>
        <a:effectLst>
          <a:outerShdw blurRad="50800" dist="50800" dir="5400000" algn="ctr" rotWithShape="0">
            <a:srgbClr val="010A26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581212</xdr:colOff>
      <xdr:row>3</xdr:row>
      <xdr:rowOff>116069</xdr:rowOff>
    </xdr:from>
    <xdr:to>
      <xdr:col>16</xdr:col>
      <xdr:colOff>121627</xdr:colOff>
      <xdr:row>7</xdr:row>
      <xdr:rowOff>155577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08AD2DAC-1508-4B4D-8956-89AF6FD9D3A9}"/>
            </a:ext>
          </a:extLst>
        </xdr:cNvPr>
        <xdr:cNvSpPr/>
      </xdr:nvSpPr>
      <xdr:spPr>
        <a:xfrm>
          <a:off x="8030250" y="702223"/>
          <a:ext cx="1982723" cy="821046"/>
        </a:xfrm>
        <a:prstGeom prst="roundRect">
          <a:avLst>
            <a:gd name="adj" fmla="val 50000"/>
          </a:avLst>
        </a:prstGeom>
        <a:solidFill>
          <a:srgbClr val="010A26"/>
        </a:solidFill>
        <a:ln w="31750">
          <a:solidFill>
            <a:srgbClr val="B6D6F2"/>
          </a:solidFill>
        </a:ln>
        <a:effectLst>
          <a:outerShdw blurRad="50800" dist="50800" dir="5400000" algn="ctr" rotWithShape="0">
            <a:srgbClr val="010A26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135246</xdr:colOff>
      <xdr:row>3</xdr:row>
      <xdr:rowOff>121931</xdr:rowOff>
    </xdr:from>
    <xdr:to>
      <xdr:col>20</xdr:col>
      <xdr:colOff>286238</xdr:colOff>
      <xdr:row>7</xdr:row>
      <xdr:rowOff>161439</xdr:rowOff>
    </xdr:to>
    <xdr:sp macro="" textlink="">
      <xdr:nvSpPr>
        <xdr:cNvPr id="51" name="Rectangle: Rounded Corners 50">
          <a:extLst>
            <a:ext uri="{FF2B5EF4-FFF2-40B4-BE49-F238E27FC236}">
              <a16:creationId xmlns:a16="http://schemas.microsoft.com/office/drawing/2014/main" id="{BE16422F-211B-41D8-B381-C73EA79CBC8C}"/>
            </a:ext>
          </a:extLst>
        </xdr:cNvPr>
        <xdr:cNvSpPr/>
      </xdr:nvSpPr>
      <xdr:spPr>
        <a:xfrm>
          <a:off x="10637169" y="708085"/>
          <a:ext cx="1982723" cy="821046"/>
        </a:xfrm>
        <a:prstGeom prst="roundRect">
          <a:avLst>
            <a:gd name="adj" fmla="val 50000"/>
          </a:avLst>
        </a:prstGeom>
        <a:solidFill>
          <a:srgbClr val="010A26"/>
        </a:solidFill>
        <a:ln w="31750">
          <a:solidFill>
            <a:srgbClr val="B6D6F2"/>
          </a:solidFill>
        </a:ln>
        <a:effectLst>
          <a:outerShdw blurRad="50800" dist="50800" dir="5400000" algn="ctr" rotWithShape="0">
            <a:srgbClr val="010A26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488461</xdr:colOff>
      <xdr:row>5</xdr:row>
      <xdr:rowOff>9527</xdr:rowOff>
    </xdr:from>
    <xdr:to>
      <xdr:col>8</xdr:col>
      <xdr:colOff>451827</xdr:colOff>
      <xdr:row>5</xdr:row>
      <xdr:rowOff>192700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CC7F61E1-2F96-4449-996E-3BB921380D19}"/>
            </a:ext>
          </a:extLst>
        </xdr:cNvPr>
        <xdr:cNvSpPr/>
      </xdr:nvSpPr>
      <xdr:spPr>
        <a:xfrm>
          <a:off x="4884615" y="986450"/>
          <a:ext cx="573943" cy="183173"/>
        </a:xfrm>
        <a:prstGeom prst="roundRect">
          <a:avLst/>
        </a:prstGeom>
        <a:solidFill>
          <a:srgbClr val="B6D6F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121626</xdr:colOff>
      <xdr:row>5</xdr:row>
      <xdr:rowOff>9038</xdr:rowOff>
    </xdr:from>
    <xdr:to>
      <xdr:col>17</xdr:col>
      <xdr:colOff>146538</xdr:colOff>
      <xdr:row>5</xdr:row>
      <xdr:rowOff>192700</xdr:rowOff>
    </xdr:to>
    <xdr:sp macro="" textlink="">
      <xdr:nvSpPr>
        <xdr:cNvPr id="53" name="Rectangle: Rounded Corners 52">
          <a:extLst>
            <a:ext uri="{FF2B5EF4-FFF2-40B4-BE49-F238E27FC236}">
              <a16:creationId xmlns:a16="http://schemas.microsoft.com/office/drawing/2014/main" id="{AC8B1E1A-DCC2-44BC-9229-AD3E866ADB8A}"/>
            </a:ext>
          </a:extLst>
        </xdr:cNvPr>
        <xdr:cNvSpPr/>
      </xdr:nvSpPr>
      <xdr:spPr>
        <a:xfrm>
          <a:off x="10012972" y="985961"/>
          <a:ext cx="635489" cy="183662"/>
        </a:xfrm>
        <a:prstGeom prst="roundRect">
          <a:avLst/>
        </a:prstGeom>
        <a:solidFill>
          <a:srgbClr val="B6D6F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591526</xdr:colOff>
      <xdr:row>5</xdr:row>
      <xdr:rowOff>14900</xdr:rowOff>
    </xdr:from>
    <xdr:to>
      <xdr:col>12</xdr:col>
      <xdr:colOff>598366</xdr:colOff>
      <xdr:row>6</xdr:row>
      <xdr:rowOff>9526</xdr:rowOff>
    </xdr:to>
    <xdr:sp macro="" textlink="">
      <xdr:nvSpPr>
        <xdr:cNvPr id="54" name="Rectangle: Rounded Corners 53">
          <a:extLst>
            <a:ext uri="{FF2B5EF4-FFF2-40B4-BE49-F238E27FC236}">
              <a16:creationId xmlns:a16="http://schemas.microsoft.com/office/drawing/2014/main" id="{DE419590-6653-4B3B-9400-4C59AC37C1C7}"/>
            </a:ext>
          </a:extLst>
        </xdr:cNvPr>
        <xdr:cNvSpPr/>
      </xdr:nvSpPr>
      <xdr:spPr>
        <a:xfrm>
          <a:off x="7429988" y="991823"/>
          <a:ext cx="617416" cy="190011"/>
        </a:xfrm>
        <a:prstGeom prst="roundRect">
          <a:avLst/>
        </a:prstGeom>
        <a:solidFill>
          <a:srgbClr val="B6D6F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24423</xdr:colOff>
      <xdr:row>4</xdr:row>
      <xdr:rowOff>156066</xdr:rowOff>
    </xdr:from>
    <xdr:to>
      <xdr:col>8</xdr:col>
      <xdr:colOff>293077</xdr:colOff>
      <xdr:row>6</xdr:row>
      <xdr:rowOff>33950</xdr:rowOff>
    </xdr:to>
    <xdr:sp macro="" textlink="">
      <xdr:nvSpPr>
        <xdr:cNvPr id="23" name="Star: 4 Points 22">
          <a:extLst>
            <a:ext uri="{FF2B5EF4-FFF2-40B4-BE49-F238E27FC236}">
              <a16:creationId xmlns:a16="http://schemas.microsoft.com/office/drawing/2014/main" id="{2B463038-2F87-4CF0-A23E-6D7D446133AA}"/>
            </a:ext>
          </a:extLst>
        </xdr:cNvPr>
        <xdr:cNvSpPr/>
      </xdr:nvSpPr>
      <xdr:spPr>
        <a:xfrm>
          <a:off x="5031154" y="937604"/>
          <a:ext cx="268654" cy="268654"/>
        </a:xfrm>
        <a:prstGeom prst="star4">
          <a:avLst/>
        </a:prstGeom>
        <a:solidFill>
          <a:schemeClr val="bg1"/>
        </a:solidFill>
        <a:ln w="22225">
          <a:solidFill>
            <a:srgbClr val="010A2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311150</xdr:colOff>
      <xdr:row>4</xdr:row>
      <xdr:rowOff>174139</xdr:rowOff>
    </xdr:from>
    <xdr:to>
      <xdr:col>16</xdr:col>
      <xdr:colOff>579804</xdr:colOff>
      <xdr:row>6</xdr:row>
      <xdr:rowOff>52023</xdr:rowOff>
    </xdr:to>
    <xdr:sp macro="" textlink="">
      <xdr:nvSpPr>
        <xdr:cNvPr id="55" name="Star: 4 Points 54">
          <a:extLst>
            <a:ext uri="{FF2B5EF4-FFF2-40B4-BE49-F238E27FC236}">
              <a16:creationId xmlns:a16="http://schemas.microsoft.com/office/drawing/2014/main" id="{AB1A368E-7F72-4E9A-94B6-78B1703BB6DB}"/>
            </a:ext>
          </a:extLst>
        </xdr:cNvPr>
        <xdr:cNvSpPr/>
      </xdr:nvSpPr>
      <xdr:spPr>
        <a:xfrm>
          <a:off x="10202496" y="955677"/>
          <a:ext cx="268654" cy="268654"/>
        </a:xfrm>
        <a:prstGeom prst="star4">
          <a:avLst/>
        </a:prstGeom>
        <a:solidFill>
          <a:schemeClr val="bg1"/>
        </a:solidFill>
        <a:ln w="22225">
          <a:solidFill>
            <a:srgbClr val="010A2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158262</xdr:colOff>
      <xdr:row>4</xdr:row>
      <xdr:rowOff>167790</xdr:rowOff>
    </xdr:from>
    <xdr:to>
      <xdr:col>12</xdr:col>
      <xdr:colOff>426916</xdr:colOff>
      <xdr:row>6</xdr:row>
      <xdr:rowOff>45674</xdr:rowOff>
    </xdr:to>
    <xdr:sp macro="" textlink="">
      <xdr:nvSpPr>
        <xdr:cNvPr id="56" name="Star: 4 Points 55">
          <a:extLst>
            <a:ext uri="{FF2B5EF4-FFF2-40B4-BE49-F238E27FC236}">
              <a16:creationId xmlns:a16="http://schemas.microsoft.com/office/drawing/2014/main" id="{787D258D-20AE-4C5F-867D-0CC060FD8635}"/>
            </a:ext>
          </a:extLst>
        </xdr:cNvPr>
        <xdr:cNvSpPr/>
      </xdr:nvSpPr>
      <xdr:spPr>
        <a:xfrm>
          <a:off x="7607300" y="949328"/>
          <a:ext cx="268654" cy="268654"/>
        </a:xfrm>
        <a:prstGeom prst="star4">
          <a:avLst/>
        </a:prstGeom>
        <a:solidFill>
          <a:schemeClr val="bg1"/>
        </a:solidFill>
        <a:ln w="22225">
          <a:solidFill>
            <a:srgbClr val="010A2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126625</xdr:colOff>
      <xdr:row>3</xdr:row>
      <xdr:rowOff>152964</xdr:rowOff>
    </xdr:from>
    <xdr:to>
      <xdr:col>11</xdr:col>
      <xdr:colOff>280507</xdr:colOff>
      <xdr:row>5</xdr:row>
      <xdr:rowOff>40905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1F0A16F-6E88-4022-A5CB-18386AB29DE9}"/>
            </a:ext>
          </a:extLst>
        </xdr:cNvPr>
        <xdr:cNvSpPr txBox="1"/>
      </xdr:nvSpPr>
      <xdr:spPr>
        <a:xfrm>
          <a:off x="5743933" y="739118"/>
          <a:ext cx="1375036" cy="2787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Avg</a:t>
          </a:r>
          <a:r>
            <a:rPr lang="en-US" sz="1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Sales</a:t>
          </a:r>
          <a:endParaRPr lang="en-US" sz="16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101971</xdr:colOff>
      <xdr:row>5</xdr:row>
      <xdr:rowOff>49869</xdr:rowOff>
    </xdr:from>
    <xdr:to>
      <xdr:col>11</xdr:col>
      <xdr:colOff>317304</xdr:colOff>
      <xdr:row>7</xdr:row>
      <xdr:rowOff>87777</xdr:rowOff>
    </xdr:to>
    <xdr:sp macro="" textlink="Analysis!C2">
      <xdr:nvSpPr>
        <xdr:cNvPr id="58" name="TextBox 57">
          <a:extLst>
            <a:ext uri="{FF2B5EF4-FFF2-40B4-BE49-F238E27FC236}">
              <a16:creationId xmlns:a16="http://schemas.microsoft.com/office/drawing/2014/main" id="{92767EA5-ECBF-45F7-B0FE-7D85CE5FC73A}"/>
            </a:ext>
          </a:extLst>
        </xdr:cNvPr>
        <xdr:cNvSpPr txBox="1"/>
      </xdr:nvSpPr>
      <xdr:spPr>
        <a:xfrm>
          <a:off x="5719279" y="1026792"/>
          <a:ext cx="1436487" cy="428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E7B17E9-6C6C-48FC-B5C3-38E8048B73E3}" type="TxLink">
            <a:rPr lang="en-US" sz="1800" b="1" i="0" u="none" strike="noStrike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pPr marL="0" indent="0" algn="ctr"/>
            <a:t>₹ 141</a:t>
          </a:fld>
          <a:endParaRPr lang="en-US" sz="1800" b="1" i="0" u="none" strike="noStrike">
            <a:solidFill>
              <a:schemeClr val="bg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728238</xdr:colOff>
      <xdr:row>3</xdr:row>
      <xdr:rowOff>116558</xdr:rowOff>
    </xdr:from>
    <xdr:to>
      <xdr:col>7</xdr:col>
      <xdr:colOff>149428</xdr:colOff>
      <xdr:row>5</xdr:row>
      <xdr:rowOff>4499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59D6AD4A-4037-4F7B-B1F9-50E2DF7AF833}"/>
            </a:ext>
          </a:extLst>
        </xdr:cNvPr>
        <xdr:cNvSpPr txBox="1"/>
      </xdr:nvSpPr>
      <xdr:spPr>
        <a:xfrm>
          <a:off x="3170546" y="702712"/>
          <a:ext cx="1375036" cy="2787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bg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Total Sales</a:t>
          </a:r>
        </a:p>
      </xdr:txBody>
    </xdr:sp>
    <xdr:clientData/>
  </xdr:twoCellAnchor>
  <xdr:twoCellAnchor>
    <xdr:from>
      <xdr:col>4</xdr:col>
      <xdr:colOff>705826</xdr:colOff>
      <xdr:row>5</xdr:row>
      <xdr:rowOff>15705</xdr:rowOff>
    </xdr:from>
    <xdr:to>
      <xdr:col>7</xdr:col>
      <xdr:colOff>188467</xdr:colOff>
      <xdr:row>7</xdr:row>
      <xdr:rowOff>53613</xdr:rowOff>
    </xdr:to>
    <xdr:sp macro="" textlink="Analysis!A2">
      <xdr:nvSpPr>
        <xdr:cNvPr id="60" name="TextBox 59">
          <a:extLst>
            <a:ext uri="{FF2B5EF4-FFF2-40B4-BE49-F238E27FC236}">
              <a16:creationId xmlns:a16="http://schemas.microsoft.com/office/drawing/2014/main" id="{602C1DF3-9083-4F60-84ED-45886B130C0C}"/>
            </a:ext>
          </a:extLst>
        </xdr:cNvPr>
        <xdr:cNvSpPr txBox="1"/>
      </xdr:nvSpPr>
      <xdr:spPr>
        <a:xfrm>
          <a:off x="3148134" y="992628"/>
          <a:ext cx="1436487" cy="428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007D4B6-51FC-496A-A425-64535A12B400}" type="TxLink">
            <a:rPr lang="en-US" sz="1800" b="1" i="0" u="none" strike="noStrike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₹ 1,201,686</a:t>
          </a:fld>
          <a:endParaRPr lang="en-US" sz="18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269891</xdr:colOff>
      <xdr:row>3</xdr:row>
      <xdr:rowOff>164484</xdr:rowOff>
    </xdr:from>
    <xdr:to>
      <xdr:col>15</xdr:col>
      <xdr:colOff>418313</xdr:colOff>
      <xdr:row>5</xdr:row>
      <xdr:rowOff>47541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3FAFC105-5C30-4620-938F-EC6FF292585B}"/>
            </a:ext>
          </a:extLst>
        </xdr:cNvPr>
        <xdr:cNvSpPr txBox="1"/>
      </xdr:nvSpPr>
      <xdr:spPr>
        <a:xfrm>
          <a:off x="8329506" y="750638"/>
          <a:ext cx="1369576" cy="2738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No</a:t>
          </a:r>
          <a:r>
            <a:rPr lang="en-US" sz="1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of Items</a:t>
          </a:r>
          <a:endParaRPr lang="en-US" sz="16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219607</xdr:colOff>
      <xdr:row>5</xdr:row>
      <xdr:rowOff>81159</xdr:rowOff>
    </xdr:from>
    <xdr:to>
      <xdr:col>15</xdr:col>
      <xdr:colOff>434940</xdr:colOff>
      <xdr:row>7</xdr:row>
      <xdr:rowOff>123952</xdr:rowOff>
    </xdr:to>
    <xdr:sp macro="" textlink="Analysis!A6">
      <xdr:nvSpPr>
        <xdr:cNvPr id="62" name="TextBox 61">
          <a:extLst>
            <a:ext uri="{FF2B5EF4-FFF2-40B4-BE49-F238E27FC236}">
              <a16:creationId xmlns:a16="http://schemas.microsoft.com/office/drawing/2014/main" id="{1E7246FB-B3E3-4F2C-911D-A9122BDF644C}"/>
            </a:ext>
          </a:extLst>
        </xdr:cNvPr>
        <xdr:cNvSpPr txBox="1"/>
      </xdr:nvSpPr>
      <xdr:spPr>
        <a:xfrm>
          <a:off x="8279222" y="1058082"/>
          <a:ext cx="1436487" cy="4335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19B01DE-06A7-4A61-B4F8-DE1CE261FD34}" type="TxLink">
            <a:rPr lang="en-US" sz="1800" b="1" i="0" u="none" strike="noStrike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pPr marL="0" indent="0" algn="ctr"/>
            <a:t>1559</a:t>
          </a:fld>
          <a:endParaRPr lang="en-US" sz="1800" b="1" i="0" u="none" strike="noStrike">
            <a:solidFill>
              <a:schemeClr val="bg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446339</xdr:colOff>
      <xdr:row>3</xdr:row>
      <xdr:rowOff>171984</xdr:rowOff>
    </xdr:from>
    <xdr:to>
      <xdr:col>19</xdr:col>
      <xdr:colOff>594761</xdr:colOff>
      <xdr:row>5</xdr:row>
      <xdr:rowOff>55041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247695FF-5F11-45DC-B7D8-53A91780542A}"/>
            </a:ext>
          </a:extLst>
        </xdr:cNvPr>
        <xdr:cNvSpPr txBox="1"/>
      </xdr:nvSpPr>
      <xdr:spPr>
        <a:xfrm>
          <a:off x="10948262" y="758138"/>
          <a:ext cx="1369576" cy="2738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Avg</a:t>
          </a:r>
          <a:r>
            <a:rPr lang="en-US" sz="1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Rating</a:t>
          </a:r>
          <a:endParaRPr lang="en-US" sz="16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409503</xdr:colOff>
      <xdr:row>5</xdr:row>
      <xdr:rowOff>68488</xdr:rowOff>
    </xdr:from>
    <xdr:to>
      <xdr:col>20</xdr:col>
      <xdr:colOff>14259</xdr:colOff>
      <xdr:row>7</xdr:row>
      <xdr:rowOff>106396</xdr:rowOff>
    </xdr:to>
    <xdr:sp macro="" textlink="Analysis!C6">
      <xdr:nvSpPr>
        <xdr:cNvPr id="64" name="TextBox 63">
          <a:extLst>
            <a:ext uri="{FF2B5EF4-FFF2-40B4-BE49-F238E27FC236}">
              <a16:creationId xmlns:a16="http://schemas.microsoft.com/office/drawing/2014/main" id="{3481EFF8-3BB2-43C1-9424-0959AEF0052F}"/>
            </a:ext>
          </a:extLst>
        </xdr:cNvPr>
        <xdr:cNvSpPr txBox="1"/>
      </xdr:nvSpPr>
      <xdr:spPr>
        <a:xfrm>
          <a:off x="10911426" y="1045411"/>
          <a:ext cx="1436487" cy="428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E326D36-9FB6-48C4-92A5-35FFED4A7F32}" type="TxLink">
            <a:rPr lang="en-US" sz="1800" b="1" i="0" u="none" strike="noStrike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pPr marL="0" indent="0" algn="ctr"/>
            <a:t>3.921</a:t>
          </a:fld>
          <a:endParaRPr lang="en-US" sz="1800" b="1" i="0" u="none" strike="noStrike">
            <a:solidFill>
              <a:schemeClr val="bg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268653</xdr:colOff>
      <xdr:row>9</xdr:row>
      <xdr:rowOff>122116</xdr:rowOff>
    </xdr:from>
    <xdr:to>
      <xdr:col>13</xdr:col>
      <xdr:colOff>122116</xdr:colOff>
      <xdr:row>26</xdr:row>
      <xdr:rowOff>73270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935F6207-BFF4-4931-A3E1-74D529023F79}"/>
            </a:ext>
          </a:extLst>
        </xdr:cNvPr>
        <xdr:cNvSpPr/>
      </xdr:nvSpPr>
      <xdr:spPr>
        <a:xfrm>
          <a:off x="2710961" y="1880578"/>
          <a:ext cx="5470770" cy="3272692"/>
        </a:xfrm>
        <a:prstGeom prst="roundRect">
          <a:avLst/>
        </a:prstGeom>
        <a:noFill/>
        <a:ln w="34925">
          <a:solidFill>
            <a:srgbClr val="010A26"/>
          </a:solidFill>
        </a:ln>
        <a:effectLst>
          <a:outerShdw blurRad="76200" sx="102000" sy="102000" algn="ctr" rotWithShape="0">
            <a:prstClr val="black">
              <a:alpha val="78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476249</xdr:colOff>
      <xdr:row>18</xdr:row>
      <xdr:rowOff>156068</xdr:rowOff>
    </xdr:from>
    <xdr:to>
      <xdr:col>8</xdr:col>
      <xdr:colOff>476249</xdr:colOff>
      <xdr:row>25</xdr:row>
      <xdr:rowOff>12215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D08F69C-6EFD-4E7F-9F7E-8F9196DFC4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610576</xdr:colOff>
      <xdr:row>11</xdr:row>
      <xdr:rowOff>95011</xdr:rowOff>
    </xdr:from>
    <xdr:to>
      <xdr:col>13</xdr:col>
      <xdr:colOff>24423</xdr:colOff>
      <xdr:row>17</xdr:row>
      <xdr:rowOff>170963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49214AA9-7821-44A7-B9D1-D819CB146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598365</xdr:colOff>
      <xdr:row>18</xdr:row>
      <xdr:rowOff>143852</xdr:rowOff>
    </xdr:from>
    <xdr:to>
      <xdr:col>13</xdr:col>
      <xdr:colOff>0</xdr:colOff>
      <xdr:row>25</xdr:row>
      <xdr:rowOff>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C3F4747-0164-4D9F-AD78-2AB2DAD8F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476252</xdr:colOff>
      <xdr:row>11</xdr:row>
      <xdr:rowOff>107220</xdr:rowOff>
    </xdr:from>
    <xdr:to>
      <xdr:col>8</xdr:col>
      <xdr:colOff>476249</xdr:colOff>
      <xdr:row>17</xdr:row>
      <xdr:rowOff>183174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E911B86-1675-4489-95BD-3A27ADF9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73268</xdr:colOff>
      <xdr:row>9</xdr:row>
      <xdr:rowOff>97692</xdr:rowOff>
    </xdr:from>
    <xdr:to>
      <xdr:col>10</xdr:col>
      <xdr:colOff>48845</xdr:colOff>
      <xdr:row>11</xdr:row>
      <xdr:rowOff>97692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FFE4BB3-8A00-4E64-A45B-1976D660455B}"/>
            </a:ext>
          </a:extLst>
        </xdr:cNvPr>
        <xdr:cNvSpPr txBox="1"/>
      </xdr:nvSpPr>
      <xdr:spPr>
        <a:xfrm>
          <a:off x="3248268" y="1856154"/>
          <a:ext cx="3028462" cy="390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i="1">
              <a:latin typeface="Times New Roman" panose="02020603050405020304" pitchFamily="18" charset="0"/>
              <a:cs typeface="Times New Roman" panose="02020603050405020304" pitchFamily="18" charset="0"/>
            </a:rPr>
            <a:t>KPIs By</a:t>
          </a:r>
          <a:r>
            <a:rPr lang="en-US" sz="2000" b="1" i="1" baseline="0">
              <a:latin typeface="Times New Roman" panose="02020603050405020304" pitchFamily="18" charset="0"/>
              <a:cs typeface="Times New Roman" panose="02020603050405020304" pitchFamily="18" charset="0"/>
            </a:rPr>
            <a:t> Item Fat Content</a:t>
          </a:r>
          <a:endParaRPr lang="en-US" sz="2000" b="1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354134</xdr:colOff>
      <xdr:row>10</xdr:row>
      <xdr:rowOff>109905</xdr:rowOff>
    </xdr:from>
    <xdr:to>
      <xdr:col>20</xdr:col>
      <xdr:colOff>525095</xdr:colOff>
      <xdr:row>26</xdr:row>
      <xdr:rowOff>36635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9956E06-E54C-4524-B859-C76D6663D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595922</xdr:colOff>
      <xdr:row>8</xdr:row>
      <xdr:rowOff>113398</xdr:rowOff>
    </xdr:from>
    <xdr:to>
      <xdr:col>18</xdr:col>
      <xdr:colOff>34192</xdr:colOff>
      <xdr:row>10</xdr:row>
      <xdr:rowOff>49655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C9710341-8014-427E-A3CA-04404E33390C}"/>
            </a:ext>
          </a:extLst>
        </xdr:cNvPr>
        <xdr:cNvSpPr txBox="1"/>
      </xdr:nvSpPr>
      <xdr:spPr>
        <a:xfrm>
          <a:off x="8655537" y="1676475"/>
          <a:ext cx="2491155" cy="3270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tx1">
                  <a:alpha val="88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Sales By Item Type</a:t>
          </a:r>
        </a:p>
      </xdr:txBody>
    </xdr:sp>
    <xdr:clientData/>
  </xdr:twoCellAnchor>
  <xdr:twoCellAnchor editAs="oneCell">
    <xdr:from>
      <xdr:col>4</xdr:col>
      <xdr:colOff>573941</xdr:colOff>
      <xdr:row>9</xdr:row>
      <xdr:rowOff>158752</xdr:rowOff>
    </xdr:from>
    <xdr:to>
      <xdr:col>5</xdr:col>
      <xdr:colOff>134327</xdr:colOff>
      <xdr:row>11</xdr:row>
      <xdr:rowOff>61061</xdr:rowOff>
    </xdr:to>
    <xdr:pic>
      <xdr:nvPicPr>
        <xdr:cNvPr id="10" name="Graphic 9" descr="Bar graph with downward trend with solid fill">
          <a:extLst>
            <a:ext uri="{FF2B5EF4-FFF2-40B4-BE49-F238E27FC236}">
              <a16:creationId xmlns:a16="http://schemas.microsoft.com/office/drawing/2014/main" id="{23879FD9-A291-48A1-A934-ED6EEC793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3016249" y="1917214"/>
          <a:ext cx="293078" cy="293078"/>
        </a:xfrm>
        <a:prstGeom prst="rect">
          <a:avLst/>
        </a:prstGeom>
      </xdr:spPr>
    </xdr:pic>
    <xdr:clientData/>
  </xdr:twoCellAnchor>
  <xdr:twoCellAnchor editAs="oneCell">
    <xdr:from>
      <xdr:col>13</xdr:col>
      <xdr:colOff>341926</xdr:colOff>
      <xdr:row>10</xdr:row>
      <xdr:rowOff>97694</xdr:rowOff>
    </xdr:from>
    <xdr:to>
      <xdr:col>14</xdr:col>
      <xdr:colOff>170963</xdr:colOff>
      <xdr:row>12</xdr:row>
      <xdr:rowOff>137014</xdr:rowOff>
    </xdr:to>
    <xdr:pic>
      <xdr:nvPicPr>
        <xdr:cNvPr id="12" name="Graphic 11" descr="Bar chart with solid fill">
          <a:extLst>
            <a:ext uri="{FF2B5EF4-FFF2-40B4-BE49-F238E27FC236}">
              <a16:creationId xmlns:a16="http://schemas.microsoft.com/office/drawing/2014/main" id="{CABA929F-157C-4559-B3F5-75F330ECA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 rot="5400000" flipH="1">
          <a:off x="8406303" y="2046778"/>
          <a:ext cx="430089" cy="439614"/>
        </a:xfrm>
        <a:prstGeom prst="rect">
          <a:avLst/>
        </a:prstGeom>
      </xdr:spPr>
    </xdr:pic>
    <xdr:clientData/>
  </xdr:twoCellAnchor>
  <xdr:twoCellAnchor editAs="oneCell">
    <xdr:from>
      <xdr:col>4</xdr:col>
      <xdr:colOff>195384</xdr:colOff>
      <xdr:row>0</xdr:row>
      <xdr:rowOff>97693</xdr:rowOff>
    </xdr:from>
    <xdr:to>
      <xdr:col>5</xdr:col>
      <xdr:colOff>36634</xdr:colOff>
      <xdr:row>3</xdr:row>
      <xdr:rowOff>85481</xdr:rowOff>
    </xdr:to>
    <xdr:pic>
      <xdr:nvPicPr>
        <xdr:cNvPr id="14" name="Graphic 13" descr="Database with solid fill">
          <a:extLst>
            <a:ext uri="{FF2B5EF4-FFF2-40B4-BE49-F238E27FC236}">
              <a16:creationId xmlns:a16="http://schemas.microsoft.com/office/drawing/2014/main" id="{45956D85-FCCF-419C-8BD8-54B894D23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2637692" y="97693"/>
          <a:ext cx="573942" cy="573942"/>
        </a:xfrm>
        <a:prstGeom prst="rect">
          <a:avLst/>
        </a:prstGeom>
      </xdr:spPr>
    </xdr:pic>
    <xdr:clientData/>
  </xdr:twoCellAnchor>
  <xdr:twoCellAnchor>
    <xdr:from>
      <xdr:col>18</xdr:col>
      <xdr:colOff>439125</xdr:colOff>
      <xdr:row>0</xdr:row>
      <xdr:rowOff>170476</xdr:rowOff>
    </xdr:from>
    <xdr:to>
      <xdr:col>20</xdr:col>
      <xdr:colOff>573452</xdr:colOff>
      <xdr:row>3</xdr:row>
      <xdr:rowOff>54710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80CCFAA1-5FE0-4352-8696-1C1D5E248836}"/>
            </a:ext>
          </a:extLst>
        </xdr:cNvPr>
        <xdr:cNvSpPr/>
      </xdr:nvSpPr>
      <xdr:spPr>
        <a:xfrm>
          <a:off x="11551625" y="170476"/>
          <a:ext cx="1355481" cy="470388"/>
        </a:xfrm>
        <a:prstGeom prst="ellipse">
          <a:avLst/>
        </a:prstGeom>
        <a:solidFill>
          <a:srgbClr val="B6D6F2"/>
        </a:solidFill>
        <a:ln w="38100">
          <a:solidFill>
            <a:srgbClr val="010A2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488461</xdr:colOff>
      <xdr:row>1</xdr:row>
      <xdr:rowOff>36634</xdr:rowOff>
    </xdr:from>
    <xdr:to>
      <xdr:col>20</xdr:col>
      <xdr:colOff>573941</xdr:colOff>
      <xdr:row>2</xdr:row>
      <xdr:rowOff>158750</xdr:rowOff>
    </xdr:to>
    <xdr:sp macro="" textlink="">
      <xdr:nvSpPr>
        <xdr:cNvPr id="39" name="TextBox 3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43E648D-6BFD-450F-B17D-8E7A949536B5}"/>
            </a:ext>
          </a:extLst>
        </xdr:cNvPr>
        <xdr:cNvSpPr txBox="1"/>
      </xdr:nvSpPr>
      <xdr:spPr>
        <a:xfrm>
          <a:off x="11600961" y="232019"/>
          <a:ext cx="1306634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Dashboard 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372810</xdr:colOff>
      <xdr:row>0</xdr:row>
      <xdr:rowOff>75757</xdr:rowOff>
    </xdr:from>
    <xdr:to>
      <xdr:col>21</xdr:col>
      <xdr:colOff>525096</xdr:colOff>
      <xdr:row>26</xdr:row>
      <xdr:rowOff>180488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1D31F30-1ECF-4A8F-9A24-C54696E61FBD}"/>
            </a:ext>
          </a:extLst>
        </xdr:cNvPr>
        <xdr:cNvSpPr/>
      </xdr:nvSpPr>
      <xdr:spPr>
        <a:xfrm>
          <a:off x="2815118" y="75757"/>
          <a:ext cx="10654209" cy="5184731"/>
        </a:xfrm>
        <a:prstGeom prst="roundRect">
          <a:avLst>
            <a:gd name="adj" fmla="val 5126"/>
          </a:avLst>
        </a:prstGeom>
        <a:noFill/>
        <a:ln w="88900">
          <a:solidFill>
            <a:srgbClr val="010A2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476249</xdr:colOff>
      <xdr:row>0</xdr:row>
      <xdr:rowOff>168277</xdr:rowOff>
    </xdr:from>
    <xdr:to>
      <xdr:col>21</xdr:col>
      <xdr:colOff>415192</xdr:colOff>
      <xdr:row>26</xdr:row>
      <xdr:rowOff>107219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1ED24C-727D-4EDE-9D77-13B9189CC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2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FilmGrain/>
                  </a14:imgEffect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8557" y="168277"/>
          <a:ext cx="10440866" cy="5018942"/>
        </a:xfrm>
        <a:prstGeom prst="rect">
          <a:avLst/>
        </a:prstGeom>
      </xdr:spPr>
    </xdr:pic>
    <xdr:clientData/>
  </xdr:twoCellAnchor>
  <xdr:twoCellAnchor>
    <xdr:from>
      <xdr:col>5</xdr:col>
      <xdr:colOff>329713</xdr:colOff>
      <xdr:row>0</xdr:row>
      <xdr:rowOff>136814</xdr:rowOff>
    </xdr:from>
    <xdr:to>
      <xdr:col>12</xdr:col>
      <xdr:colOff>451827</xdr:colOff>
      <xdr:row>2</xdr:row>
      <xdr:rowOff>192844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1C15FA4-571C-4B3B-A881-5B5F9137C9F7}"/>
            </a:ext>
          </a:extLst>
        </xdr:cNvPr>
        <xdr:cNvSpPr txBox="1"/>
      </xdr:nvSpPr>
      <xdr:spPr>
        <a:xfrm>
          <a:off x="3504713" y="136814"/>
          <a:ext cx="4396152" cy="4467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800" b="1" i="1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blinkit</a:t>
          </a:r>
          <a:r>
            <a:rPr lang="en-US" sz="2800" b="1" i="1" baseline="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Analysis Dashboard</a:t>
          </a:r>
        </a:p>
      </xdr:txBody>
    </xdr:sp>
    <xdr:clientData/>
  </xdr:twoCellAnchor>
  <xdr:twoCellAnchor editAs="oneCell">
    <xdr:from>
      <xdr:col>10</xdr:col>
      <xdr:colOff>170964</xdr:colOff>
      <xdr:row>12</xdr:row>
      <xdr:rowOff>36637</xdr:rowOff>
    </xdr:from>
    <xdr:to>
      <xdr:col>10</xdr:col>
      <xdr:colOff>557904</xdr:colOff>
      <xdr:row>14</xdr:row>
      <xdr:rowOff>24423</xdr:rowOff>
    </xdr:to>
    <xdr:pic>
      <xdr:nvPicPr>
        <xdr:cNvPr id="32" name="Graphic 31" descr="Bar chart with solid fill">
          <a:extLst>
            <a:ext uri="{FF2B5EF4-FFF2-40B4-BE49-F238E27FC236}">
              <a16:creationId xmlns:a16="http://schemas.microsoft.com/office/drawing/2014/main" id="{D439B53F-5B7A-47BF-97E4-E465F7EA5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5400000" flipH="1">
          <a:off x="6403041" y="2377060"/>
          <a:ext cx="378556" cy="386940"/>
        </a:xfrm>
        <a:prstGeom prst="rect">
          <a:avLst/>
        </a:prstGeom>
      </xdr:spPr>
    </xdr:pic>
    <xdr:clientData/>
  </xdr:twoCellAnchor>
  <xdr:twoCellAnchor editAs="oneCell">
    <xdr:from>
      <xdr:col>4</xdr:col>
      <xdr:colOff>561730</xdr:colOff>
      <xdr:row>0</xdr:row>
      <xdr:rowOff>85481</xdr:rowOff>
    </xdr:from>
    <xdr:to>
      <xdr:col>5</xdr:col>
      <xdr:colOff>402980</xdr:colOff>
      <xdr:row>3</xdr:row>
      <xdr:rowOff>73269</xdr:rowOff>
    </xdr:to>
    <xdr:pic>
      <xdr:nvPicPr>
        <xdr:cNvPr id="33" name="Graphic 32" descr="Database with solid fill">
          <a:extLst>
            <a:ext uri="{FF2B5EF4-FFF2-40B4-BE49-F238E27FC236}">
              <a16:creationId xmlns:a16="http://schemas.microsoft.com/office/drawing/2014/main" id="{AFFDDB02-7EFD-410C-898D-82A890CEA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004038" y="85481"/>
          <a:ext cx="573942" cy="573942"/>
        </a:xfrm>
        <a:prstGeom prst="rect">
          <a:avLst/>
        </a:prstGeom>
      </xdr:spPr>
    </xdr:pic>
    <xdr:clientData/>
  </xdr:twoCellAnchor>
  <xdr:twoCellAnchor>
    <xdr:from>
      <xdr:col>4</xdr:col>
      <xdr:colOff>608134</xdr:colOff>
      <xdr:row>5</xdr:row>
      <xdr:rowOff>27917</xdr:rowOff>
    </xdr:from>
    <xdr:to>
      <xdr:col>10</xdr:col>
      <xdr:colOff>583712</xdr:colOff>
      <xdr:row>14</xdr:row>
      <xdr:rowOff>61057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9717CB8E-E400-4E32-9E17-A554109D8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203687</xdr:colOff>
      <xdr:row>0</xdr:row>
      <xdr:rowOff>166077</xdr:rowOff>
    </xdr:from>
    <xdr:to>
      <xdr:col>21</xdr:col>
      <xdr:colOff>338014</xdr:colOff>
      <xdr:row>3</xdr:row>
      <xdr:rowOff>50311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432CE07E-1EB5-4FEF-9C7B-DB63F97CA281}"/>
            </a:ext>
          </a:extLst>
        </xdr:cNvPr>
        <xdr:cNvSpPr/>
      </xdr:nvSpPr>
      <xdr:spPr>
        <a:xfrm>
          <a:off x="11926764" y="166077"/>
          <a:ext cx="1355481" cy="470388"/>
        </a:xfrm>
        <a:prstGeom prst="ellipse">
          <a:avLst/>
        </a:prstGeom>
        <a:solidFill>
          <a:srgbClr val="B6D6F2"/>
        </a:solidFill>
        <a:ln w="38100">
          <a:solidFill>
            <a:srgbClr val="010A2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232019</xdr:colOff>
      <xdr:row>1</xdr:row>
      <xdr:rowOff>31750</xdr:rowOff>
    </xdr:from>
    <xdr:to>
      <xdr:col>21</xdr:col>
      <xdr:colOff>317499</xdr:colOff>
      <xdr:row>2</xdr:row>
      <xdr:rowOff>153866</xdr:rowOff>
    </xdr:to>
    <xdr:sp macro="" textlink="">
      <xdr:nvSpPr>
        <xdr:cNvPr id="36" name="TextBox 3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66ECB41-633B-4E80-B235-44A24C4E9E4B}"/>
            </a:ext>
          </a:extLst>
        </xdr:cNvPr>
        <xdr:cNvSpPr txBox="1"/>
      </xdr:nvSpPr>
      <xdr:spPr>
        <a:xfrm>
          <a:off x="11955096" y="227135"/>
          <a:ext cx="1306634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Dashboard 1</a:t>
          </a:r>
        </a:p>
      </xdr:txBody>
    </xdr:sp>
    <xdr:clientData/>
  </xdr:twoCellAnchor>
  <xdr:twoCellAnchor>
    <xdr:from>
      <xdr:col>4</xdr:col>
      <xdr:colOff>537308</xdr:colOff>
      <xdr:row>3</xdr:row>
      <xdr:rowOff>61058</xdr:rowOff>
    </xdr:from>
    <xdr:to>
      <xdr:col>11</xdr:col>
      <xdr:colOff>73269</xdr:colOff>
      <xdr:row>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71451B-CCDE-45C8-BDEA-5041F8010586}"/>
            </a:ext>
          </a:extLst>
        </xdr:cNvPr>
        <xdr:cNvSpPr txBox="1"/>
      </xdr:nvSpPr>
      <xdr:spPr>
        <a:xfrm>
          <a:off x="2979616" y="647212"/>
          <a:ext cx="3932115" cy="3297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Fat Content By Outlet Type for Total Sales</a:t>
          </a:r>
          <a:endParaRPr lang="en-US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622786</xdr:colOff>
      <xdr:row>16</xdr:row>
      <xdr:rowOff>36634</xdr:rowOff>
    </xdr:from>
    <xdr:to>
      <xdr:col>10</xdr:col>
      <xdr:colOff>573940</xdr:colOff>
      <xdr:row>25</xdr:row>
      <xdr:rowOff>158751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E0BCCB3-D525-4BBB-A539-CA97634D9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708269</xdr:colOff>
      <xdr:row>14</xdr:row>
      <xdr:rowOff>97692</xdr:rowOff>
    </xdr:from>
    <xdr:to>
      <xdr:col>10</xdr:col>
      <xdr:colOff>341922</xdr:colOff>
      <xdr:row>16</xdr:row>
      <xdr:rowOff>24423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E03866A-A694-4849-B6B8-AEB6C3273167}"/>
            </a:ext>
          </a:extLst>
        </xdr:cNvPr>
        <xdr:cNvSpPr txBox="1"/>
      </xdr:nvSpPr>
      <xdr:spPr>
        <a:xfrm>
          <a:off x="3150577" y="2833077"/>
          <a:ext cx="341923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Outlet Age By Total Sales</a:t>
          </a:r>
          <a:endParaRPr lang="en-US" sz="1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10</xdr:col>
      <xdr:colOff>176826</xdr:colOff>
      <xdr:row>23</xdr:row>
      <xdr:rowOff>140191</xdr:rowOff>
    </xdr:from>
    <xdr:to>
      <xdr:col>10</xdr:col>
      <xdr:colOff>563766</xdr:colOff>
      <xdr:row>25</xdr:row>
      <xdr:rowOff>127978</xdr:rowOff>
    </xdr:to>
    <xdr:pic>
      <xdr:nvPicPr>
        <xdr:cNvPr id="18" name="Graphic 17" descr="Bar chart with solid fill">
          <a:extLst>
            <a:ext uri="{FF2B5EF4-FFF2-40B4-BE49-F238E27FC236}">
              <a16:creationId xmlns:a16="http://schemas.microsoft.com/office/drawing/2014/main" id="{EA20C4CF-907D-4A32-8645-445720E09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5400000" flipH="1">
          <a:off x="6408903" y="4629845"/>
          <a:ext cx="378556" cy="386940"/>
        </a:xfrm>
        <a:prstGeom prst="rect">
          <a:avLst/>
        </a:prstGeom>
      </xdr:spPr>
    </xdr:pic>
    <xdr:clientData/>
  </xdr:twoCellAnchor>
  <xdr:twoCellAnchor>
    <xdr:from>
      <xdr:col>11</xdr:col>
      <xdr:colOff>134326</xdr:colOff>
      <xdr:row>5</xdr:row>
      <xdr:rowOff>12211</xdr:rowOff>
    </xdr:from>
    <xdr:to>
      <xdr:col>16</xdr:col>
      <xdr:colOff>61057</xdr:colOff>
      <xdr:row>14</xdr:row>
      <xdr:rowOff>61057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952719D-D508-4EF4-87F9-597ACF9140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134328</xdr:colOff>
      <xdr:row>16</xdr:row>
      <xdr:rowOff>36634</xdr:rowOff>
    </xdr:from>
    <xdr:to>
      <xdr:col>16</xdr:col>
      <xdr:colOff>61058</xdr:colOff>
      <xdr:row>25</xdr:row>
      <xdr:rowOff>158750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4B70CCF-9EC7-429A-BDDC-A0C9081AFA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415192</xdr:colOff>
      <xdr:row>3</xdr:row>
      <xdr:rowOff>48846</xdr:rowOff>
    </xdr:from>
    <xdr:to>
      <xdr:col>15</xdr:col>
      <xdr:colOff>586155</xdr:colOff>
      <xdr:row>5</xdr:row>
      <xdr:rowOff>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3590622-7F4A-435F-BAF7-9B4AA2F80A64}"/>
            </a:ext>
          </a:extLst>
        </xdr:cNvPr>
        <xdr:cNvSpPr txBox="1"/>
      </xdr:nvSpPr>
      <xdr:spPr>
        <a:xfrm>
          <a:off x="7253654" y="635000"/>
          <a:ext cx="2613270" cy="3419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% of Total Sales By Outlet Size</a:t>
          </a:r>
          <a:endParaRPr lang="en-US" sz="1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11</xdr:col>
      <xdr:colOff>146539</xdr:colOff>
      <xdr:row>5</xdr:row>
      <xdr:rowOff>24424</xdr:rowOff>
    </xdr:from>
    <xdr:to>
      <xdr:col>11</xdr:col>
      <xdr:colOff>500673</xdr:colOff>
      <xdr:row>6</xdr:row>
      <xdr:rowOff>183173</xdr:rowOff>
    </xdr:to>
    <xdr:pic>
      <xdr:nvPicPr>
        <xdr:cNvPr id="7" name="Graphic 6" descr="Pie chart with solid fill">
          <a:extLst>
            <a:ext uri="{FF2B5EF4-FFF2-40B4-BE49-F238E27FC236}">
              <a16:creationId xmlns:a16="http://schemas.microsoft.com/office/drawing/2014/main" id="{64B9C397-14C1-4B01-855A-73D70E913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6985001" y="1001347"/>
          <a:ext cx="354134" cy="354134"/>
        </a:xfrm>
        <a:prstGeom prst="rect">
          <a:avLst/>
        </a:prstGeom>
      </xdr:spPr>
    </xdr:pic>
    <xdr:clientData/>
  </xdr:twoCellAnchor>
  <xdr:twoCellAnchor editAs="oneCell">
    <xdr:from>
      <xdr:col>11</xdr:col>
      <xdr:colOff>146536</xdr:colOff>
      <xdr:row>16</xdr:row>
      <xdr:rowOff>61059</xdr:rowOff>
    </xdr:from>
    <xdr:to>
      <xdr:col>11</xdr:col>
      <xdr:colOff>500672</xdr:colOff>
      <xdr:row>17</xdr:row>
      <xdr:rowOff>183174</xdr:rowOff>
    </xdr:to>
    <xdr:pic>
      <xdr:nvPicPr>
        <xdr:cNvPr id="9" name="Graphic 8" descr="Bar graph with upward trend with solid fill">
          <a:extLst>
            <a:ext uri="{FF2B5EF4-FFF2-40B4-BE49-F238E27FC236}">
              <a16:creationId xmlns:a16="http://schemas.microsoft.com/office/drawing/2014/main" id="{B73ED2EC-BDB3-42BA-9BB4-7778B8B0B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6984998" y="3187213"/>
          <a:ext cx="354136" cy="317499"/>
        </a:xfrm>
        <a:prstGeom prst="rect">
          <a:avLst/>
        </a:prstGeom>
      </xdr:spPr>
    </xdr:pic>
    <xdr:clientData/>
  </xdr:twoCellAnchor>
  <xdr:twoCellAnchor>
    <xdr:from>
      <xdr:col>11</xdr:col>
      <xdr:colOff>469900</xdr:colOff>
      <xdr:row>14</xdr:row>
      <xdr:rowOff>91341</xdr:rowOff>
    </xdr:from>
    <xdr:to>
      <xdr:col>16</xdr:col>
      <xdr:colOff>30286</xdr:colOff>
      <xdr:row>16</xdr:row>
      <xdr:rowOff>42495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26D46E1-E5FE-4B73-BD3E-C5B8E6E9284A}"/>
            </a:ext>
          </a:extLst>
        </xdr:cNvPr>
        <xdr:cNvSpPr txBox="1"/>
      </xdr:nvSpPr>
      <xdr:spPr>
        <a:xfrm>
          <a:off x="7308362" y="2826726"/>
          <a:ext cx="2613270" cy="3419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Sales By Outlet Location</a:t>
          </a:r>
        </a:p>
      </xdr:txBody>
    </xdr:sp>
    <xdr:clientData/>
  </xdr:twoCellAnchor>
  <xdr:twoCellAnchor>
    <xdr:from>
      <xdr:col>16</xdr:col>
      <xdr:colOff>256442</xdr:colOff>
      <xdr:row>3</xdr:row>
      <xdr:rowOff>170961</xdr:rowOff>
    </xdr:from>
    <xdr:to>
      <xdr:col>21</xdr:col>
      <xdr:colOff>390769</xdr:colOff>
      <xdr:row>26</xdr:row>
      <xdr:rowOff>48846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F9F312CB-A6C1-428E-AC00-28B7527C2A81}"/>
            </a:ext>
          </a:extLst>
        </xdr:cNvPr>
        <xdr:cNvSpPr/>
      </xdr:nvSpPr>
      <xdr:spPr>
        <a:xfrm>
          <a:off x="10147788" y="757115"/>
          <a:ext cx="3187212" cy="4371731"/>
        </a:xfrm>
        <a:prstGeom prst="roundRect">
          <a:avLst/>
        </a:prstGeom>
        <a:noFill/>
        <a:ln w="34925">
          <a:solidFill>
            <a:srgbClr val="010A26"/>
          </a:solidFill>
        </a:ln>
        <a:effectLst>
          <a:outerShdw blurRad="76200" sx="102000" sy="102000" algn="ctr" rotWithShape="0">
            <a:prstClr val="black">
              <a:alpha val="78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390769</xdr:colOff>
      <xdr:row>5</xdr:row>
      <xdr:rowOff>85481</xdr:rowOff>
    </xdr:from>
    <xdr:to>
      <xdr:col>21</xdr:col>
      <xdr:colOff>280865</xdr:colOff>
      <xdr:row>11</xdr:row>
      <xdr:rowOff>109905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E704E600-CA60-4AE4-A72E-F3CEAE57C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402980</xdr:colOff>
      <xdr:row>12</xdr:row>
      <xdr:rowOff>73269</xdr:rowOff>
    </xdr:from>
    <xdr:to>
      <xdr:col>21</xdr:col>
      <xdr:colOff>268653</xdr:colOff>
      <xdr:row>18</xdr:row>
      <xdr:rowOff>117262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C86D3C58-BF97-42B8-AA99-C7392D81F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415192</xdr:colOff>
      <xdr:row>19</xdr:row>
      <xdr:rowOff>85481</xdr:rowOff>
    </xdr:from>
    <xdr:to>
      <xdr:col>21</xdr:col>
      <xdr:colOff>244230</xdr:colOff>
      <xdr:row>25</xdr:row>
      <xdr:rowOff>42136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D492D6C1-FA79-472A-B71A-C36AC93E86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17</xdr:col>
      <xdr:colOff>207595</xdr:colOff>
      <xdr:row>3</xdr:row>
      <xdr:rowOff>122115</xdr:rowOff>
    </xdr:from>
    <xdr:to>
      <xdr:col>22</xdr:col>
      <xdr:colOff>183172</xdr:colOff>
      <xdr:row>5</xdr:row>
      <xdr:rowOff>36635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A54506EB-DEA9-447B-A851-0703705BBE6C}"/>
            </a:ext>
          </a:extLst>
        </xdr:cNvPr>
        <xdr:cNvSpPr txBox="1"/>
      </xdr:nvSpPr>
      <xdr:spPr>
        <a:xfrm>
          <a:off x="10709518" y="708269"/>
          <a:ext cx="3028462" cy="3052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i="1">
              <a:latin typeface="Times New Roman" panose="02020603050405020304" pitchFamily="18" charset="0"/>
              <a:cs typeface="Times New Roman" panose="02020603050405020304" pitchFamily="18" charset="0"/>
            </a:rPr>
            <a:t>KPIs By</a:t>
          </a:r>
          <a:r>
            <a:rPr lang="en-US" sz="2000" b="1" i="1" baseline="0">
              <a:latin typeface="Times New Roman" panose="02020603050405020304" pitchFamily="18" charset="0"/>
              <a:cs typeface="Times New Roman" panose="02020603050405020304" pitchFamily="18" charset="0"/>
            </a:rPr>
            <a:t> Outlet Type</a:t>
          </a:r>
          <a:endParaRPr lang="en-US" sz="2000" b="1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16</xdr:col>
      <xdr:colOff>500675</xdr:colOff>
      <xdr:row>4</xdr:row>
      <xdr:rowOff>36636</xdr:rowOff>
    </xdr:from>
    <xdr:to>
      <xdr:col>17</xdr:col>
      <xdr:colOff>293076</xdr:colOff>
      <xdr:row>5</xdr:row>
      <xdr:rowOff>61058</xdr:rowOff>
    </xdr:to>
    <xdr:pic>
      <xdr:nvPicPr>
        <xdr:cNvPr id="11" name="Graphic 10" descr="Bar chart with solid fill">
          <a:extLst>
            <a:ext uri="{FF2B5EF4-FFF2-40B4-BE49-F238E27FC236}">
              <a16:creationId xmlns:a16="http://schemas.microsoft.com/office/drawing/2014/main" id="{C267173B-C7B0-43BB-AB21-46ACABEC8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10392021" y="818174"/>
          <a:ext cx="402978" cy="219807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1.213373726852" backgroundQuery="1" createdVersion="7" refreshedVersion="7" minRefreshableVersion="3" recordCount="0" supportSubquery="1" supportAdvancedDrill="1" xr:uid="{6007DE48-DCD1-42F0-B900-15DC7EA267AF}">
  <cacheSource type="external" connectionId="2"/>
  <cacheFields count="2">
    <cacheField name="[BlinkIT Grocery Data].[Outlet Location Type].[Outlet Location Type]" caption="Outlet Location Type" numFmtId="0" hierarchy="5" level="1">
      <sharedItems count="3">
        <s v="Tier 1"/>
        <s v="Tier 2"/>
        <s v="Tier 3"/>
      </sharedItems>
    </cacheField>
    <cacheField name="[Measures].[Total Sales]" caption="Total Sales" numFmtId="0" hierarchy="14" level="32767"/>
  </cacheFields>
  <cacheHierarchies count="21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0" memberValueDatatype="130" unbalanced="0"/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13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2" memberValueDatatype="130" unbalanced="0">
      <fieldsUsage count="2">
        <fieldUsage x="-1"/>
        <fieldUsage x="0"/>
      </fieldsUsage>
    </cacheHierarchy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0" memberValueDatatype="130" unbalanced="0"/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BlinkIT Grocery Data].[Outlet Age]" caption="Outlet Age" attribute="1" defaultMemberUniqueName="[BlinkIT Grocery Data].[Outlet Age].[All]" allUniqueName="[BlinkIT Grocery Data].[Outlet Age].[All]" dimensionUniqueName="[BlinkIT Grocery Data]" displayFolder="" count="0" memberValueDatatype="130" unbalanced="0"/>
    <cacheHierarchy uniqueName="[Measures].[Sum of Sales]" caption="Sum of Sales" measure="1" displayFolder="" measureGroup="BlinkIT Grocery 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Sales]" caption="Total Sales" measure="1" displayFolder="" measureGroup="BlinkIT Grocery Data" count="0" oneField="1">
      <fieldsUsage count="1">
        <fieldUsage x="1"/>
      </fieldsUsage>
    </cacheHierarchy>
    <cacheHierarchy uniqueName="[Measures].[Avg Sales]" caption="Avg Sales" measure="1" displayFolder="" measureGroup="BlinkIT Grocery Data" count="0"/>
    <cacheHierarchy uniqueName="[Measures].[No of Items ]" caption="No of Items " measure="1" displayFolder="" measureGroup="BlinkIT Grocery Data" count="0"/>
    <cacheHierarchy uniqueName="[Measures].[Avg Rating]" caption="Avg Rating" measure="1" displayFolder="" measureGroup="BlinkIT Grocery Data" count="0"/>
    <cacheHierarchy uniqueName="[Measures].[% of Total Sales]" caption="% of Total Sale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1.213375810185" backgroundQuery="1" createdVersion="7" refreshedVersion="7" minRefreshableVersion="3" recordCount="0" supportSubquery="1" supportAdvancedDrill="1" xr:uid="{581F10DE-2E12-4268-9010-2AE118A0446B}">
  <cacheSource type="external" connectionId="2"/>
  <cacheFields count="2">
    <cacheField name="[BlinkIT Grocery Data].[Outlet Size].[Outlet Size]" caption="Outlet Size" numFmtId="0" hierarchy="6" level="1">
      <sharedItems count="3">
        <s v="High"/>
        <s v="Medium"/>
        <s v="Small"/>
      </sharedItems>
    </cacheField>
    <cacheField name="[Measures].[Total Sales]" caption="Total Sales" numFmtId="0" hierarchy="14" level="32767"/>
  </cacheFields>
  <cacheHierarchies count="21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0" memberValueDatatype="130" unbalanced="0"/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13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2" memberValueDatatype="130" unbalanced="0">
      <fieldsUsage count="2">
        <fieldUsage x="-1"/>
        <fieldUsage x="0"/>
      </fieldsUsage>
    </cacheHierarchy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0" memberValueDatatype="130" unbalanced="0"/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BlinkIT Grocery Data].[Outlet Age]" caption="Outlet Age" attribute="1" defaultMemberUniqueName="[BlinkIT Grocery Data].[Outlet Age].[All]" allUniqueName="[BlinkIT Grocery Data].[Outlet Age].[All]" dimensionUniqueName="[BlinkIT Grocery Data]" displayFolder="" count="0" memberValueDatatype="130" unbalanced="0"/>
    <cacheHierarchy uniqueName="[Measures].[Sum of Sales]" caption="Sum of Sales" measure="1" displayFolder="" measureGroup="BlinkIT Grocery 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Sales]" caption="Total Sales" measure="1" displayFolder="" measureGroup="BlinkIT Grocery Data" count="0" oneField="1">
      <fieldsUsage count="1">
        <fieldUsage x="1"/>
      </fieldsUsage>
    </cacheHierarchy>
    <cacheHierarchy uniqueName="[Measures].[Avg Sales]" caption="Avg Sales" measure="1" displayFolder="" measureGroup="BlinkIT Grocery Data" count="0"/>
    <cacheHierarchy uniqueName="[Measures].[No of Items ]" caption="No of Items " measure="1" displayFolder="" measureGroup="BlinkIT Grocery Data" count="0"/>
    <cacheHierarchy uniqueName="[Measures].[Avg Rating]" caption="Avg Rating" measure="1" displayFolder="" measureGroup="BlinkIT Grocery Data" count="0"/>
    <cacheHierarchy uniqueName="[Measures].[% of Total Sales]" caption="% of Total Sale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1.213376851854" backgroundQuery="1" createdVersion="7" refreshedVersion="7" minRefreshableVersion="3" recordCount="0" supportSubquery="1" supportAdvancedDrill="1" xr:uid="{BE092427-2605-4073-BDA4-C7D5F151707F}">
  <cacheSource type="external" connectionId="2"/>
  <cacheFields count="1">
    <cacheField name="[Measures].[Avg Sales]" caption="Avg Sales" numFmtId="0" hierarchy="15" level="32767"/>
  </cacheFields>
  <cacheHierarchies count="21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0" memberValueDatatype="130" unbalanced="0"/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13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0" memberValueDatatype="130" unbalanced="0"/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BlinkIT Grocery Data].[Outlet Age]" caption="Outlet Age" attribute="1" defaultMemberUniqueName="[BlinkIT Grocery Data].[Outlet Age].[All]" allUniqueName="[BlinkIT Grocery Data].[Outlet Age].[All]" dimensionUniqueName="[BlinkIT Grocery Data]" displayFolder="" count="0" memberValueDatatype="130" unbalanced="0"/>
    <cacheHierarchy uniqueName="[Measures].[Sum of Sales]" caption="Sum of Sales" measure="1" displayFolder="" measureGroup="BlinkIT Grocery 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Sales]" caption="Total Sales" measure="1" displayFolder="" measureGroup="BlinkIT Grocery Data" count="0"/>
    <cacheHierarchy uniqueName="[Measures].[Avg Sales]" caption="Avg Sales" measure="1" displayFolder="" measureGroup="BlinkIT Grocery Data" count="0" oneField="1">
      <fieldsUsage count="1">
        <fieldUsage x="0"/>
      </fieldsUsage>
    </cacheHierarchy>
    <cacheHierarchy uniqueName="[Measures].[No of Items ]" caption="No of Items " measure="1" displayFolder="" measureGroup="BlinkIT Grocery Data" count="0"/>
    <cacheHierarchy uniqueName="[Measures].[Avg Rating]" caption="Avg Rating" measure="1" displayFolder="" measureGroup="BlinkIT Grocery Data" count="0"/>
    <cacheHierarchy uniqueName="[Measures].[% of Total Sales]" caption="% of Total Sale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1.213377893517" backgroundQuery="1" createdVersion="7" refreshedVersion="7" minRefreshableVersion="3" recordCount="0" supportSubquery="1" supportAdvancedDrill="1" xr:uid="{DC2B8260-52AE-4A84-80C1-B68D77FE4887}">
  <cacheSource type="external" connectionId="2"/>
  <cacheFields count="2">
    <cacheField name="[Measures].[Total Sales]" caption="Total Sales" numFmtId="0" hierarchy="14" level="32767"/>
    <cacheField name="[BlinkIT Grocery Data].[Item Fat Content].[Item Fat Content]" caption="Item Fat Content" numFmtId="0" level="1">
      <sharedItems count="2">
        <s v="Low Fat"/>
        <s v="Regular"/>
      </sharedItems>
    </cacheField>
  </cacheFields>
  <cacheHierarchies count="21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2" memberValueDatatype="130" unbalanced="0">
      <fieldsUsage count="2">
        <fieldUsage x="-1"/>
        <fieldUsage x="1"/>
      </fieldsUsage>
    </cacheHierarchy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13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0" memberValueDatatype="130" unbalanced="0"/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BlinkIT Grocery Data].[Outlet Age]" caption="Outlet Age" attribute="1" defaultMemberUniqueName="[BlinkIT Grocery Data].[Outlet Age].[All]" allUniqueName="[BlinkIT Grocery Data].[Outlet Age].[All]" dimensionUniqueName="[BlinkIT Grocery Data]" displayFolder="" count="0" memberValueDatatype="130" unbalanced="0"/>
    <cacheHierarchy uniqueName="[Measures].[Sum of Sales]" caption="Sum of Sales" measure="1" displayFolder="" measureGroup="BlinkIT Grocery 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Sales]" caption="Total Sales" measure="1" displayFolder="" measureGroup="BlinkIT Grocery Data" count="0" oneField="1">
      <fieldsUsage count="1">
        <fieldUsage x="0"/>
      </fieldsUsage>
    </cacheHierarchy>
    <cacheHierarchy uniqueName="[Measures].[Avg Sales]" caption="Avg Sales" measure="1" displayFolder="" measureGroup="BlinkIT Grocery Data" count="0"/>
    <cacheHierarchy uniqueName="[Measures].[No of Items ]" caption="No of Items " measure="1" displayFolder="" measureGroup="BlinkIT Grocery Data" count="0"/>
    <cacheHierarchy uniqueName="[Measures].[Avg Rating]" caption="Avg Rating" measure="1" displayFolder="" measureGroup="BlinkIT Grocery Data" count="0"/>
    <cacheHierarchy uniqueName="[Measures].[% of Total Sales]" caption="% of Total Sale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1.213379050925" backgroundQuery="1" createdVersion="7" refreshedVersion="7" minRefreshableVersion="3" recordCount="0" supportSubquery="1" supportAdvancedDrill="1" xr:uid="{B64B927B-ED3A-4C3B-B8A4-CAADDDA93543}">
  <cacheSource type="external" connectionId="2"/>
  <cacheFields count="1">
    <cacheField name="[Measures].[Avg Rating]" caption="Avg Rating" numFmtId="0" hierarchy="17" level="32767"/>
  </cacheFields>
  <cacheHierarchies count="21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0" memberValueDatatype="130" unbalanced="0"/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13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0" memberValueDatatype="130" unbalanced="0"/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BlinkIT Grocery Data].[Outlet Age]" caption="Outlet Age" attribute="1" defaultMemberUniqueName="[BlinkIT Grocery Data].[Outlet Age].[All]" allUniqueName="[BlinkIT Grocery Data].[Outlet Age].[All]" dimensionUniqueName="[BlinkIT Grocery Data]" displayFolder="" count="0" memberValueDatatype="130" unbalanced="0"/>
    <cacheHierarchy uniqueName="[Measures].[Sum of Sales]" caption="Sum of Sales" measure="1" displayFolder="" measureGroup="BlinkIT Grocery 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Sales]" caption="Total Sales" measure="1" displayFolder="" measureGroup="BlinkIT Grocery Data" count="0"/>
    <cacheHierarchy uniqueName="[Measures].[Avg Sales]" caption="Avg Sales" measure="1" displayFolder="" measureGroup="BlinkIT Grocery Data" count="0"/>
    <cacheHierarchy uniqueName="[Measures].[No of Items ]" caption="No of Items " measure="1" displayFolder="" measureGroup="BlinkIT Grocery Data" count="0"/>
    <cacheHierarchy uniqueName="[Measures].[Avg Rating]" caption="Avg Rating" measure="1" displayFolder="" measureGroup="BlinkIT Grocery Data" count="0" oneField="1">
      <fieldsUsage count="1">
        <fieldUsage x="0"/>
      </fieldsUsage>
    </cacheHierarchy>
    <cacheHierarchy uniqueName="[Measures].[% of Total Sales]" caption="% of Total Sale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1.213382060188" backgroundQuery="1" createdVersion="7" refreshedVersion="7" minRefreshableVersion="3" recordCount="0" supportSubquery="1" supportAdvancedDrill="1" xr:uid="{7BD04745-5587-45A6-BCE7-B827B9A42DF0}">
  <cacheSource type="external" connectionId="2"/>
  <cacheFields count="2">
    <cacheField name="[BlinkIT Grocery Data].[Outlet Type].[Outlet Type]" caption="Outlet Type" numFmtId="0" hierarchy="7" level="1">
      <sharedItems count="4">
        <s v="Grocery Store"/>
        <s v="Supermarket Type1"/>
        <s v="Supermarket Type2"/>
        <s v="Supermarket Type3"/>
      </sharedItems>
    </cacheField>
    <cacheField name="[Measures].[Total Sales]" caption="Total Sales" numFmtId="0" hierarchy="14" level="32767"/>
  </cacheFields>
  <cacheHierarchies count="21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0" memberValueDatatype="130" unbalanced="0"/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13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2" memberValueDatatype="130" unbalanced="0">
      <fieldsUsage count="2">
        <fieldUsage x="-1"/>
        <fieldUsage x="0"/>
      </fieldsUsage>
    </cacheHierarchy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BlinkIT Grocery Data].[Outlet Age]" caption="Outlet Age" attribute="1" defaultMemberUniqueName="[BlinkIT Grocery Data].[Outlet Age].[All]" allUniqueName="[BlinkIT Grocery Data].[Outlet Age].[All]" dimensionUniqueName="[BlinkIT Grocery Data]" displayFolder="" count="0" memberValueDatatype="130" unbalanced="0"/>
    <cacheHierarchy uniqueName="[Measures].[Sum of Sales]" caption="Sum of Sales" measure="1" displayFolder="" measureGroup="BlinkIT Grocery 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Sales]" caption="Total Sales" measure="1" displayFolder="" measureGroup="BlinkIT Grocery Data" count="0" oneField="1">
      <fieldsUsage count="1">
        <fieldUsage x="1"/>
      </fieldsUsage>
    </cacheHierarchy>
    <cacheHierarchy uniqueName="[Measures].[Avg Sales]" caption="Avg Sales" measure="1" displayFolder="" measureGroup="BlinkIT Grocery Data" count="0"/>
    <cacheHierarchy uniqueName="[Measures].[No of Items ]" caption="No of Items " measure="1" displayFolder="" measureGroup="BlinkIT Grocery Data" count="0"/>
    <cacheHierarchy uniqueName="[Measures].[Avg Rating]" caption="Avg Rating" measure="1" displayFolder="" measureGroup="BlinkIT Grocery Data" count="0"/>
    <cacheHierarchy uniqueName="[Measures].[% of Total Sales]" caption="% of Total Sale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1.213383680559" backgroundQuery="1" createdVersion="7" refreshedVersion="7" minRefreshableVersion="3" recordCount="0" supportSubquery="1" supportAdvancedDrill="1" xr:uid="{EABEFB26-112D-4B61-BA5B-8ABAF54C9205}">
  <cacheSource type="external" connectionId="2"/>
  <cacheFields count="3">
    <cacheField name="[BlinkIT Grocery Data].[Outlet Type].[Outlet Type]" caption="Outlet Type" numFmtId="0" hierarchy="7" level="1">
      <sharedItems count="4">
        <s v="Grocery Store"/>
        <s v="Supermarket Type1"/>
        <s v="Supermarket Type2"/>
        <s v="Supermarket Type3"/>
      </sharedItems>
    </cacheField>
    <cacheField name="[Measures].[Avg Sales]" caption="Avg Sales" numFmtId="0" hierarchy="15" level="32767"/>
    <cacheField name="[Measures].[No of Items ]" caption="No of Items " numFmtId="0" hierarchy="16" level="32767"/>
  </cacheFields>
  <cacheHierarchies count="21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0" memberValueDatatype="130" unbalanced="0"/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13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2" memberValueDatatype="130" unbalanced="0">
      <fieldsUsage count="2">
        <fieldUsage x="-1"/>
        <fieldUsage x="0"/>
      </fieldsUsage>
    </cacheHierarchy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BlinkIT Grocery Data].[Outlet Age]" caption="Outlet Age" attribute="1" defaultMemberUniqueName="[BlinkIT Grocery Data].[Outlet Age].[All]" allUniqueName="[BlinkIT Grocery Data].[Outlet Age].[All]" dimensionUniqueName="[BlinkIT Grocery Data]" displayFolder="" count="0" memberValueDatatype="130" unbalanced="0"/>
    <cacheHierarchy uniqueName="[Measures].[Sum of Sales]" caption="Sum of Sales" measure="1" displayFolder="" measureGroup="BlinkIT Grocery 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Sales]" caption="Total Sales" measure="1" displayFolder="" measureGroup="BlinkIT Grocery Data" count="0"/>
    <cacheHierarchy uniqueName="[Measures].[Avg Sales]" caption="Avg Sales" measure="1" displayFolder="" measureGroup="BlinkIT Grocery Data" count="0" oneField="1">
      <fieldsUsage count="1">
        <fieldUsage x="1"/>
      </fieldsUsage>
    </cacheHierarchy>
    <cacheHierarchy uniqueName="[Measures].[No of Items ]" caption="No of Items " measure="1" displayFolder="" measureGroup="BlinkIT Grocery Data" count="0" oneField="1">
      <fieldsUsage count="1">
        <fieldUsage x="2"/>
      </fieldsUsage>
    </cacheHierarchy>
    <cacheHierarchy uniqueName="[Measures].[Avg Rating]" caption="Avg Rating" measure="1" displayFolder="" measureGroup="BlinkIT Grocery Data" count="0"/>
    <cacheHierarchy uniqueName="[Measures].[% of Total Sales]" caption="% of Total Sale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1.213385300929" backgroundQuery="1" createdVersion="7" refreshedVersion="7" minRefreshableVersion="3" recordCount="0" supportSubquery="1" supportAdvancedDrill="1" xr:uid="{ABA7FF9B-BC6B-49EC-A3E6-81C172FCD16A}">
  <cacheSource type="external" connectionId="2"/>
  <cacheFields count="2">
    <cacheField name="[BlinkIT Grocery Data].[Outlet Type].[Outlet Type]" caption="Outlet Type" numFmtId="0" hierarchy="7" level="1">
      <sharedItems count="4">
        <s v="Grocery Store"/>
        <s v="Supermarket Type1"/>
        <s v="Supermarket Type2"/>
        <s v="Supermarket Type3"/>
      </sharedItems>
    </cacheField>
    <cacheField name="[Measures].[Avg Rating]" caption="Avg Rating" numFmtId="0" hierarchy="17" level="32767"/>
  </cacheFields>
  <cacheHierarchies count="21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0" memberValueDatatype="130" unbalanced="0"/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13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2" memberValueDatatype="130" unbalanced="0">
      <fieldsUsage count="2">
        <fieldUsage x="-1"/>
        <fieldUsage x="0"/>
      </fieldsUsage>
    </cacheHierarchy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BlinkIT Grocery Data].[Outlet Age]" caption="Outlet Age" attribute="1" defaultMemberUniqueName="[BlinkIT Grocery Data].[Outlet Age].[All]" allUniqueName="[BlinkIT Grocery Data].[Outlet Age].[All]" dimensionUniqueName="[BlinkIT Grocery Data]" displayFolder="" count="0" memberValueDatatype="130" unbalanced="0"/>
    <cacheHierarchy uniqueName="[Measures].[Sum of Sales]" caption="Sum of Sales" measure="1" displayFolder="" measureGroup="BlinkIT Grocery 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Sales]" caption="Total Sales" measure="1" displayFolder="" measureGroup="BlinkIT Grocery Data" count="0"/>
    <cacheHierarchy uniqueName="[Measures].[Avg Sales]" caption="Avg Sales" measure="1" displayFolder="" measureGroup="BlinkIT Grocery Data" count="0"/>
    <cacheHierarchy uniqueName="[Measures].[No of Items ]" caption="No of Items " measure="1" displayFolder="" measureGroup="BlinkIT Grocery Data" count="0"/>
    <cacheHierarchy uniqueName="[Measures].[Avg Rating]" caption="Avg Rating" measure="1" displayFolder="" measureGroup="BlinkIT Grocery Data" count="0" oneField="1">
      <fieldsUsage count="1">
        <fieldUsage x="1"/>
      </fieldsUsage>
    </cacheHierarchy>
    <cacheHierarchy uniqueName="[Measures].[% of Total Sales]" caption="% of Total Sale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1.213386921299" backgroundQuery="1" createdVersion="7" refreshedVersion="7" minRefreshableVersion="3" recordCount="0" supportSubquery="1" supportAdvancedDrill="1" xr:uid="{C0F054FF-FB79-422D-A0B5-4F8A1D77C754}">
  <cacheSource type="external" connectionId="2"/>
  <cacheFields count="2">
    <cacheField name="[BlinkIT Grocery Data].[Item Fat Content].[Item Fat Content]" caption="Item Fat Content" numFmtId="0" level="1">
      <sharedItems count="2">
        <s v="Low Fat"/>
        <s v="Regular"/>
      </sharedItems>
    </cacheField>
    <cacheField name="[Measures].[Avg Sales]" caption="Avg Sales" numFmtId="0" hierarchy="15" level="32767"/>
  </cacheFields>
  <cacheHierarchies count="21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2" memberValueDatatype="130" unbalanced="0">
      <fieldsUsage count="2">
        <fieldUsage x="-1"/>
        <fieldUsage x="0"/>
      </fieldsUsage>
    </cacheHierarchy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13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0" memberValueDatatype="130" unbalanced="0"/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BlinkIT Grocery Data].[Outlet Age]" caption="Outlet Age" attribute="1" defaultMemberUniqueName="[BlinkIT Grocery Data].[Outlet Age].[All]" allUniqueName="[BlinkIT Grocery Data].[Outlet Age].[All]" dimensionUniqueName="[BlinkIT Grocery Data]" displayFolder="" count="0" memberValueDatatype="130" unbalanced="0"/>
    <cacheHierarchy uniqueName="[Measures].[Sum of Sales]" caption="Sum of Sales" measure="1" displayFolder="" measureGroup="BlinkIT Grocery 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Sales]" caption="Total Sales" measure="1" displayFolder="" measureGroup="BlinkIT Grocery Data" count="0"/>
    <cacheHierarchy uniqueName="[Measures].[Avg Sales]" caption="Avg Sales" measure="1" displayFolder="" measureGroup="BlinkIT Grocery Data" count="0" oneField="1">
      <fieldsUsage count="1">
        <fieldUsage x="1"/>
      </fieldsUsage>
    </cacheHierarchy>
    <cacheHierarchy uniqueName="[Measures].[No of Items ]" caption="No of Items " measure="1" displayFolder="" measureGroup="BlinkIT Grocery Data" count="0"/>
    <cacheHierarchy uniqueName="[Measures].[Avg Rating]" caption="Avg Rating" measure="1" displayFolder="" measureGroup="BlinkIT Grocery Data" count="0"/>
    <cacheHierarchy uniqueName="[Measures].[% of Total Sales]" caption="% of Total Sale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1.213388773147" backgroundQuery="1" createdVersion="7" refreshedVersion="7" minRefreshableVersion="3" recordCount="0" supportSubquery="1" supportAdvancedDrill="1" xr:uid="{6DA691A5-395E-445B-8561-32F3870A65A6}">
  <cacheSource type="external" connectionId="2"/>
  <cacheFields count="2">
    <cacheField name="[BlinkIT Grocery Data].[Item Fat Content].[Item Fat Content]" caption="Item Fat Content" numFmtId="0" level="1">
      <sharedItems count="2">
        <s v="Low Fat"/>
        <s v="Regular"/>
      </sharedItems>
    </cacheField>
    <cacheField name="[Measures].[Avg Rating]" caption="Avg Rating" numFmtId="0" hierarchy="17" level="32767"/>
  </cacheFields>
  <cacheHierarchies count="21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2" memberValueDatatype="130" unbalanced="0">
      <fieldsUsage count="2">
        <fieldUsage x="-1"/>
        <fieldUsage x="0"/>
      </fieldsUsage>
    </cacheHierarchy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13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0" memberValueDatatype="130" unbalanced="0"/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BlinkIT Grocery Data].[Outlet Age]" caption="Outlet Age" attribute="1" defaultMemberUniqueName="[BlinkIT Grocery Data].[Outlet Age].[All]" allUniqueName="[BlinkIT Grocery Data].[Outlet Age].[All]" dimensionUniqueName="[BlinkIT Grocery Data]" displayFolder="" count="0" memberValueDatatype="130" unbalanced="0"/>
    <cacheHierarchy uniqueName="[Measures].[Sum of Sales]" caption="Sum of Sales" measure="1" displayFolder="" measureGroup="BlinkIT Grocery 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Sales]" caption="Total Sales" measure="1" displayFolder="" measureGroup="BlinkIT Grocery Data" count="0"/>
    <cacheHierarchy uniqueName="[Measures].[Avg Sales]" caption="Avg Sales" measure="1" displayFolder="" measureGroup="BlinkIT Grocery Data" count="0"/>
    <cacheHierarchy uniqueName="[Measures].[No of Items ]" caption="No of Items " measure="1" displayFolder="" measureGroup="BlinkIT Grocery Data" count="0"/>
    <cacheHierarchy uniqueName="[Measures].[Avg Rating]" caption="Avg Rating" measure="1" displayFolder="" measureGroup="BlinkIT Grocery Data" count="0" oneField="1">
      <fieldsUsage count="1">
        <fieldUsage x="1"/>
      </fieldsUsage>
    </cacheHierarchy>
    <cacheHierarchy uniqueName="[Measures].[% of Total Sales]" caption="% of Total Sale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1.213390046294" backgroundQuery="1" createdVersion="7" refreshedVersion="7" minRefreshableVersion="3" recordCount="0" supportSubquery="1" supportAdvancedDrill="1" xr:uid="{03CADB7A-D5FD-4723-BC15-09C300A7BEBD}">
  <cacheSource type="external" connectionId="2"/>
  <cacheFields count="1">
    <cacheField name="[Measures].[No of Items ]" caption="No of Items " numFmtId="0" hierarchy="16" level="32767"/>
  </cacheFields>
  <cacheHierarchies count="21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0" memberValueDatatype="130" unbalanced="0"/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13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0" memberValueDatatype="130" unbalanced="0"/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BlinkIT Grocery Data].[Outlet Age]" caption="Outlet Age" attribute="1" defaultMemberUniqueName="[BlinkIT Grocery Data].[Outlet Age].[All]" allUniqueName="[BlinkIT Grocery Data].[Outlet Age].[All]" dimensionUniqueName="[BlinkIT Grocery Data]" displayFolder="" count="0" memberValueDatatype="130" unbalanced="0"/>
    <cacheHierarchy uniqueName="[Measures].[Sum of Sales]" caption="Sum of Sales" measure="1" displayFolder="" measureGroup="BlinkIT Grocery 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Sales]" caption="Total Sales" measure="1" displayFolder="" measureGroup="BlinkIT Grocery Data" count="0"/>
    <cacheHierarchy uniqueName="[Measures].[Avg Sales]" caption="Avg Sales" measure="1" displayFolder="" measureGroup="BlinkIT Grocery Data" count="0"/>
    <cacheHierarchy uniqueName="[Measures].[No of Items ]" caption="No of Items " measure="1" displayFolder="" measureGroup="BlinkIT Grocery Data" count="0" oneField="1">
      <fieldsUsage count="1">
        <fieldUsage x="0"/>
      </fieldsUsage>
    </cacheHierarchy>
    <cacheHierarchy uniqueName="[Measures].[Avg Rating]" caption="Avg Rating" measure="1" displayFolder="" measureGroup="BlinkIT Grocery Data" count="0"/>
    <cacheHierarchy uniqueName="[Measures].[% of Total Sales]" caption="% of Total Sale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1.213391550926" backgroundQuery="1" createdVersion="7" refreshedVersion="7" minRefreshableVersion="3" recordCount="0" supportSubquery="1" supportAdvancedDrill="1" xr:uid="{A711319E-CF27-4960-A50F-A13155060B84}">
  <cacheSource type="external" connectionId="2"/>
  <cacheFields count="3">
    <cacheField name="[BlinkIT Grocery Data].[Item Fat Content].[Item Fat Content]" caption="Item Fat Content" numFmtId="0" level="1">
      <sharedItems count="2">
        <s v="Low Fat"/>
        <s v="Regular"/>
      </sharedItems>
    </cacheField>
    <cacheField name="[BlinkIT Grocery Data].[Outlet Type].[Outlet Type]" caption="Outlet Type" numFmtId="0" hierarchy="7" level="1">
      <sharedItems count="4">
        <s v="Grocery Store"/>
        <s v="Supermarket Type1"/>
        <s v="Supermarket Type2"/>
        <s v="Supermarket Type3"/>
      </sharedItems>
    </cacheField>
    <cacheField name="[Measures].[Total Sales]" caption="Total Sales" numFmtId="0" hierarchy="14" level="32767"/>
  </cacheFields>
  <cacheHierarchies count="21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2" memberValueDatatype="130" unbalanced="0">
      <fieldsUsage count="2">
        <fieldUsage x="-1"/>
        <fieldUsage x="0"/>
      </fieldsUsage>
    </cacheHierarchy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13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2" memberValueDatatype="130" unbalanced="0">
      <fieldsUsage count="2">
        <fieldUsage x="-1"/>
        <fieldUsage x="1"/>
      </fieldsUsage>
    </cacheHierarchy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BlinkIT Grocery Data].[Outlet Age]" caption="Outlet Age" attribute="1" defaultMemberUniqueName="[BlinkIT Grocery Data].[Outlet Age].[All]" allUniqueName="[BlinkIT Grocery Data].[Outlet Age].[All]" dimensionUniqueName="[BlinkIT Grocery Data]" displayFolder="" count="0" memberValueDatatype="130" unbalanced="0"/>
    <cacheHierarchy uniqueName="[Measures].[Sum of Sales]" caption="Sum of Sales" measure="1" displayFolder="" measureGroup="BlinkIT Grocery 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Sales]" caption="Total Sales" measure="1" displayFolder="" measureGroup="BlinkIT Grocery Data" count="0" oneField="1">
      <fieldsUsage count="1">
        <fieldUsage x="2"/>
      </fieldsUsage>
    </cacheHierarchy>
    <cacheHierarchy uniqueName="[Measures].[Avg Sales]" caption="Avg Sales" measure="1" displayFolder="" measureGroup="BlinkIT Grocery Data" count="0"/>
    <cacheHierarchy uniqueName="[Measures].[No of Items ]" caption="No of Items " measure="1" displayFolder="" measureGroup="BlinkIT Grocery Data" count="0"/>
    <cacheHierarchy uniqueName="[Measures].[Avg Rating]" caption="Avg Rating" measure="1" displayFolder="" measureGroup="BlinkIT Grocery Data" count="0"/>
    <cacheHierarchy uniqueName="[Measures].[% of Total Sales]" caption="% of Total Sale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1.213392939811" backgroundQuery="1" createdVersion="7" refreshedVersion="7" minRefreshableVersion="3" recordCount="0" supportSubquery="1" supportAdvancedDrill="1" xr:uid="{6CB2FE09-187B-4363-B6F0-AC72A650395F}">
  <cacheSource type="external" connectionId="2"/>
  <cacheFields count="1">
    <cacheField name="[Measures].[Total Sales]" caption="Total Sales" numFmtId="0" hierarchy="14" level="32767"/>
  </cacheFields>
  <cacheHierarchies count="21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0" memberValueDatatype="130" unbalanced="0"/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13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0" memberValueDatatype="130" unbalanced="0"/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BlinkIT Grocery Data].[Outlet Age]" caption="Outlet Age" attribute="1" defaultMemberUniqueName="[BlinkIT Grocery Data].[Outlet Age].[All]" allUniqueName="[BlinkIT Grocery Data].[Outlet Age].[All]" dimensionUniqueName="[BlinkIT Grocery Data]" displayFolder="" count="0" memberValueDatatype="130" unbalanced="0"/>
    <cacheHierarchy uniqueName="[Measures].[Sum of Sales]" caption="Sum of Sales" measure="1" displayFolder="" measureGroup="BlinkIT Grocery 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Sales]" caption="Total Sales" measure="1" displayFolder="" measureGroup="BlinkIT Grocery Data" count="0" oneField="1">
      <fieldsUsage count="1">
        <fieldUsage x="0"/>
      </fieldsUsage>
    </cacheHierarchy>
    <cacheHierarchy uniqueName="[Measures].[Avg Sales]" caption="Avg Sales" measure="1" displayFolder="" measureGroup="BlinkIT Grocery Data" count="0"/>
    <cacheHierarchy uniqueName="[Measures].[No of Items ]" caption="No of Items " measure="1" displayFolder="" measureGroup="BlinkIT Grocery Data" count="0"/>
    <cacheHierarchy uniqueName="[Measures].[Avg Rating]" caption="Avg Rating" measure="1" displayFolder="" measureGroup="BlinkIT Grocery Data" count="0"/>
    <cacheHierarchy uniqueName="[Measures].[% of Total Sales]" caption="% of Total Sale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1.213394791666" backgroundQuery="1" createdVersion="7" refreshedVersion="7" minRefreshableVersion="3" recordCount="0" supportSubquery="1" supportAdvancedDrill="1" xr:uid="{9418D67F-6F31-4574-877D-61A7A6749A86}">
  <cacheSource type="external" connectionId="2"/>
  <cacheFields count="2">
    <cacheField name="[BlinkIT Grocery Data].[Item Fat Content].[Item Fat Content]" caption="Item Fat Content" numFmtId="0" level="1">
      <sharedItems count="2">
        <s v="Low Fat"/>
        <s v="Regular"/>
      </sharedItems>
    </cacheField>
    <cacheField name="[Measures].[No of Items ]" caption="No of Items " numFmtId="0" hierarchy="16" level="32767"/>
  </cacheFields>
  <cacheHierarchies count="21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2" memberValueDatatype="130" unbalanced="0">
      <fieldsUsage count="2">
        <fieldUsage x="-1"/>
        <fieldUsage x="0"/>
      </fieldsUsage>
    </cacheHierarchy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13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0" memberValueDatatype="130" unbalanced="0"/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BlinkIT Grocery Data].[Outlet Age]" caption="Outlet Age" attribute="1" defaultMemberUniqueName="[BlinkIT Grocery Data].[Outlet Age].[All]" allUniqueName="[BlinkIT Grocery Data].[Outlet Age].[All]" dimensionUniqueName="[BlinkIT Grocery Data]" displayFolder="" count="0" memberValueDatatype="130" unbalanced="0"/>
    <cacheHierarchy uniqueName="[Measures].[Sum of Sales]" caption="Sum of Sales" measure="1" displayFolder="" measureGroup="BlinkIT Grocery 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Sales]" caption="Total Sales" measure="1" displayFolder="" measureGroup="BlinkIT Grocery Data" count="0"/>
    <cacheHierarchy uniqueName="[Measures].[Avg Sales]" caption="Avg Sales" measure="1" displayFolder="" measureGroup="BlinkIT Grocery Data" count="0"/>
    <cacheHierarchy uniqueName="[Measures].[No of Items ]" caption="No of Items " measure="1" displayFolder="" measureGroup="BlinkIT Grocery Data" count="0" oneField="1">
      <fieldsUsage count="1">
        <fieldUsage x="1"/>
      </fieldsUsage>
    </cacheHierarchy>
    <cacheHierarchy uniqueName="[Measures].[Avg Rating]" caption="Avg Rating" measure="1" displayFolder="" measureGroup="BlinkIT Grocery Data" count="0"/>
    <cacheHierarchy uniqueName="[Measures].[% of Total Sales]" caption="% of Total Sale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1.21339675926" backgroundQuery="1" createdVersion="7" refreshedVersion="7" minRefreshableVersion="3" recordCount="0" supportSubquery="1" supportAdvancedDrill="1" xr:uid="{D638D49D-15FF-45C4-9A28-F9799C7D2192}">
  <cacheSource type="external" connectionId="2"/>
  <cacheFields count="2">
    <cacheField name="[BlinkIT Grocery Data].[Item Type].[Item Type]" caption="Item Type" numFmtId="0" hierarchy="2" level="1">
      <sharedItems count="16">
        <s v="Baking Goods"/>
        <s v="Breads"/>
        <s v="Breakfast"/>
        <s v="Canned"/>
        <s v="Dairy"/>
        <s v="Frozen Foods"/>
        <s v="Fruits and Vegetables"/>
        <s v="Hard Drinks"/>
        <s v="Health and Hygiene"/>
        <s v="Household"/>
        <s v="Meat"/>
        <s v="Others"/>
        <s v="Seafood"/>
        <s v="Snack Foods"/>
        <s v="Soft Drinks"/>
        <s v="Starchy Foods"/>
      </sharedItems>
    </cacheField>
    <cacheField name="[Measures].[Total Sales]" caption="Total Sales" numFmtId="0" hierarchy="14" level="32767"/>
  </cacheFields>
  <cacheHierarchies count="21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0" memberValueDatatype="130" unbalanced="0"/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2" memberValueDatatype="130" unbalanced="0">
      <fieldsUsage count="2">
        <fieldUsage x="-1"/>
        <fieldUsage x="0"/>
      </fieldsUsage>
    </cacheHierarchy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13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0" memberValueDatatype="130" unbalanced="0"/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BlinkIT Grocery Data].[Outlet Age]" caption="Outlet Age" attribute="1" defaultMemberUniqueName="[BlinkIT Grocery Data].[Outlet Age].[All]" allUniqueName="[BlinkIT Grocery Data].[Outlet Age].[All]" dimensionUniqueName="[BlinkIT Grocery Data]" displayFolder="" count="0" memberValueDatatype="130" unbalanced="0"/>
    <cacheHierarchy uniqueName="[Measures].[Sum of Sales]" caption="Sum of Sales" measure="1" displayFolder="" measureGroup="BlinkIT Grocery 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Sales]" caption="Total Sales" measure="1" displayFolder="" measureGroup="BlinkIT Grocery Data" count="0" oneField="1">
      <fieldsUsage count="1">
        <fieldUsage x="1"/>
      </fieldsUsage>
    </cacheHierarchy>
    <cacheHierarchy uniqueName="[Measures].[Avg Sales]" caption="Avg Sales" measure="1" displayFolder="" measureGroup="BlinkIT Grocery Data" count="0"/>
    <cacheHierarchy uniqueName="[Measures].[No of Items ]" caption="No of Items " measure="1" displayFolder="" measureGroup="BlinkIT Grocery Data" count="0"/>
    <cacheHierarchy uniqueName="[Measures].[Avg Rating]" caption="Avg Rating" measure="1" displayFolder="" measureGroup="BlinkIT Grocery Data" count="0"/>
    <cacheHierarchy uniqueName="[Measures].[% of Total Sales]" caption="% of Total Sale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3.205725231484" backgroundQuery="1" createdVersion="7" refreshedVersion="7" minRefreshableVersion="3" recordCount="0" supportSubquery="1" supportAdvancedDrill="1" xr:uid="{BA6C5398-6BD9-480B-8981-E09FC4F74F57}">
  <cacheSource type="external" connectionId="2"/>
  <cacheFields count="2">
    <cacheField name="[Measures].[Total Sales]" caption="Total Sales" numFmtId="0" hierarchy="14" level="32767"/>
    <cacheField name="[BlinkIT Grocery Data].[Outlet Age].[Outlet Age]" caption="Outlet Age" numFmtId="0" hierarchy="12" level="1">
      <sharedItems count="9">
        <s v="0"/>
        <s v="1"/>
        <s v="11"/>
        <s v="3"/>
        <s v="4"/>
        <s v="5"/>
        <s v="6"/>
        <s v="7"/>
        <s v="9"/>
      </sharedItems>
    </cacheField>
  </cacheFields>
  <cacheHierarchies count="21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0" memberValueDatatype="130" unbalanced="0"/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2" memberValueDatatype="13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0" memberValueDatatype="130" unbalanced="0"/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BlinkIT Grocery Data].[Outlet Age]" caption="Outlet Age" attribute="1" defaultMemberUniqueName="[BlinkIT Grocery Data].[Outlet Age].[All]" allUniqueName="[BlinkIT Grocery Data].[Outlet Age].[All]" dimensionUniqueName="[BlinkIT Grocery Data]" displayFolder="" count="2" memberValueDatatype="130" unbalanced="0">
      <fieldsUsage count="2">
        <fieldUsage x="-1"/>
        <fieldUsage x="1"/>
      </fieldsUsage>
    </cacheHierarchy>
    <cacheHierarchy uniqueName="[Measures].[Sum of Sales]" caption="Sum of Sales" measure="1" displayFolder="" measureGroup="BlinkIT Grocery Dat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Sales]" caption="Total Sales" measure="1" displayFolder="" measureGroup="BlinkIT Grocery Data" count="0" oneField="1">
      <fieldsUsage count="1">
        <fieldUsage x="0"/>
      </fieldsUsage>
    </cacheHierarchy>
    <cacheHierarchy uniqueName="[Measures].[Avg Sales]" caption="Avg Sales" measure="1" displayFolder="" measureGroup="BlinkIT Grocery Data" count="0"/>
    <cacheHierarchy uniqueName="[Measures].[No of Items ]" caption="No of Items " measure="1" displayFolder="" measureGroup="BlinkIT Grocery Data" count="0"/>
    <cacheHierarchy uniqueName="[Measures].[Avg Rating]" caption="Avg Rating" measure="1" displayFolder="" measureGroup="BlinkIT Grocery Data" count="0"/>
    <cacheHierarchy uniqueName="[Measures].[% of Total Sales]" caption="% of Total Sale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FCE75F-D577-4FA7-A2A9-8627CC37C3EA}" name="PivotTable9" cacheId="1" applyNumberFormats="0" applyBorderFormats="0" applyFontFormats="0" applyPatternFormats="0" applyAlignmentFormats="0" applyWidthHeightFormats="1" dataCaption="Values" updatedVersion="7" minRefreshableVersion="3" useAutoFormatting="1" subtotalHiddenItems="1" rowGrandTotals="0" itemPrintTitles="1" createdVersion="7" indent="0" compact="0" compactData="0" multipleFieldFilters="0" chartFormat="19">
  <location ref="O1:P4" firstHeaderRow="1" firstDataRow="1" firstDataCol="1"/>
  <pivotFields count="2"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dataField="1" compact="0" outline="0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fld="1" subtotal="count" showDataAs="percentOfTotal" baseField="0" baseItem="0" numFmtId="9"/>
  </dataFields>
  <chartFormats count="4">
    <chartFormat chart="18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8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8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836AD-8044-44AD-9551-FC1B069F8E9D}" name="PivotTable16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 chartFormat="14">
  <location ref="H28:I31" firstHeaderRow="1" firstDataRow="1" firstDataCol="1"/>
  <pivotFields count="2"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dataField="1" compact="0" outline="0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fld="1" subtotal="count" baseField="0" baseItem="0"/>
  </dataFields>
  <chartFormats count="1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A19807-7734-44E7-B431-C1B67F3611A8}" name="PivotTable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C1:C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0CC7B4-8912-4138-88ED-55EDCF3E58CD}" name="PivotTable6" cacheId="14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compact="0" compactData="0" multipleFieldFilters="0" chartFormat="23">
  <location ref="E7:F24" firstHeaderRow="1" firstDataRow="1" firstDataCol="1"/>
  <pivotFields count="2">
    <pivotField axis="axisRow" compact="0" allDrilled="1" outline="0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dataField="1" compact="0" outline="0" subtotalTop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fld="1" subtotal="count" baseField="0" baseItem="0"/>
  </dataFields>
  <chartFormats count="2">
    <chartFormat chart="1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CC2208-0AE9-4D00-9B93-5BC5CA51284D}" name="PivotTable8" cacheId="15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compact="0" compactData="0" multipleFieldFilters="0" chartFormat="23">
  <location ref="H16:I26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defaultSubtotal="0" defaultAttributeDrillState="1">
      <items count="9">
        <item x="0"/>
        <item x="1"/>
        <item x="3"/>
        <item x="4"/>
        <item x="5"/>
        <item x="6"/>
        <item x="7"/>
        <item x="8"/>
        <item x="2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fld="0" subtotal="count" baseField="0" baseItem="0"/>
  </dataFields>
  <formats count="1">
    <format dxfId="0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B2838-FC0C-4DD8-8D51-DD3AE055BF21}" name="PivotTable7" cacheId="11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compact="0" compactData="0" multipleFieldFilters="0" chartFormat="15">
  <location ref="H7:K12" firstHeaderRow="1" firstDataRow="2" firstDataCol="1"/>
  <pivotFields count="3">
    <pivotField axis="axisCol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0"/>
  </colFields>
  <colItems count="3">
    <i>
      <x/>
    </i>
    <i>
      <x v="1"/>
    </i>
    <i t="grand">
      <x/>
    </i>
  </colItems>
  <dataFields count="1">
    <dataField fld="2" subtotal="count" baseField="0" baseItem="0"/>
  </dataFields>
  <chartFormats count="18"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3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3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3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5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5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5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8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8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8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8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1A68A-9E27-4661-AF64-3DFDDAB43FAA}" name="PivotTable4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C5:C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43BB0-1479-4485-B564-15F1AB990AE0}" name="PivotTable5" cacheId="3" applyNumberFormats="0" applyBorderFormats="0" applyFontFormats="0" applyPatternFormats="0" applyAlignmentFormats="0" applyWidthHeightFormats="1" dataCaption="Values" updatedVersion="7" minRefreshableVersion="3" useAutoFormatting="1" subtotalHiddenItems="1" rowGrandTotals="0" itemPrintTitles="1" createdVersion="7" indent="0" compact="0" compactData="0" multipleFieldFilters="0" chartFormat="18">
  <location ref="E1:F3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2">
    <i>
      <x/>
    </i>
    <i>
      <x v="1"/>
    </i>
  </rowItems>
  <colItems count="1">
    <i/>
  </colItems>
  <dataFields count="1">
    <dataField fld="0" subtotal="count" baseField="0" baseItem="0"/>
  </dataFields>
  <chartFormats count="9"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FA035-5AF5-41EF-90A6-A8F9E25016FD}" name="PivotTable15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 chartFormat="12">
  <location ref="E28:F31" firstHeaderRow="1" firstDataRow="1" firstDataCol="1"/>
  <pivotFields count="2"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dataField="1" compact="0" outline="0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fld="1" subtotal="count" baseField="0" baseItem="0"/>
  </dataFields>
  <chartFormats count="9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038A91-951A-45CE-8B6E-68CB56D2940A}" name="PivotTable1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A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Sal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49AA31-ADF8-4300-8CA8-1A856088205E}" name="PivotTable10" cacheId="0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compact="0" compactData="0" multipleFieldFilters="0" chartFormat="18">
  <location ref="O8:P12" firstHeaderRow="1" firstDataRow="1" firstDataCol="1"/>
  <pivotFields count="2"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dataField="1" compact="0" outline="0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chartFormats count="4">
    <chartFormat chart="15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9EBEB4-A168-4DF7-91B6-479A3907770B}" name="PivotTable17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 chartFormat="12">
  <location ref="K16:L19" firstHeaderRow="1" firstDataRow="1" firstDataCol="1"/>
  <pivotFields count="2">
    <pivotField axis="axisRow" compact="0" allDrilled="1" outline="0" showAll="0" dataSourceSort="1" defaultSubtotal="0" defaultAttributeDrillState="1">
      <items count="2">
        <item x="0"/>
        <item x="1"/>
      </items>
    </pivotField>
    <pivotField dataField="1" compact="0" outline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fld="1" subtotal="count" baseField="0" baseItem="0"/>
  </dataFields>
  <chartFormats count="7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484FA-2716-4107-88E7-8D7B60731777}" name="PivotTable3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5:A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E11A69-F201-4164-981D-B3A5FACF8E26}" name="PivotTable11" cacheId="6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compact="0" compactData="0" multipleFieldFilters="0" chartFormat="19">
  <location ref="O15:Q20" firstHeaderRow="0" firstDataRow="1" firstDataCol="1"/>
  <pivotFields count="3"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  <pivotField dataField="1" compact="0" outline="0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fld="1" subtotal="count" baseField="0" baseItem="0"/>
  </dataFields>
  <chartFormats count="12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5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56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8" format="5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8" format="58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8" format="59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7263A9-E3A7-4B84-B82A-1F7B18ADB446}" name="PivotTable19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 chartFormat="11">
  <location ref="S9:T14" firstHeaderRow="1" firstDataRow="1" firstDataCol="1"/>
  <pivotFields count="2"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chartFormats count="5"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505E1-1639-4B0D-82CA-F6A93EE48B08}" name="PivotTable18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 chartFormat="11">
  <location ref="S1:T6" firstHeaderRow="1" firstDataRow="1" firstDataCol="1"/>
  <pivotFields count="2"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chartFormats count="1">
    <chartFormat chart="10" format="5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42A5-BE58-44CB-9093-4D9E932F9BC0}">
  <dimension ref="A1:T31"/>
  <sheetViews>
    <sheetView topLeftCell="C1" zoomScale="92" workbookViewId="0">
      <selection activeCell="L14" sqref="L14"/>
    </sheetView>
  </sheetViews>
  <sheetFormatPr defaultRowHeight="15" x14ac:dyDescent="0.25"/>
  <cols>
    <col min="1" max="1" width="11.140625" bestFit="1" customWidth="1"/>
    <col min="2" max="2" width="16.42578125" bestFit="1" customWidth="1"/>
    <col min="3" max="3" width="10.28515625" bestFit="1" customWidth="1"/>
    <col min="4" max="4" width="26.85546875" customWidth="1"/>
    <col min="5" max="5" width="20.42578125" bestFit="1" customWidth="1"/>
    <col min="6" max="6" width="11.140625" bestFit="1" customWidth="1"/>
    <col min="7" max="7" width="12.85546875" bestFit="1" customWidth="1"/>
    <col min="8" max="8" width="18.42578125" bestFit="1" customWidth="1"/>
    <col min="9" max="9" width="16" bestFit="1" customWidth="1"/>
    <col min="10" max="11" width="18.28515625" bestFit="1" customWidth="1"/>
    <col min="12" max="12" width="11.7109375" bestFit="1" customWidth="1"/>
    <col min="13" max="14" width="25.140625" customWidth="1"/>
    <col min="15" max="15" width="18.42578125" bestFit="1" customWidth="1"/>
    <col min="16" max="16" width="11.7109375" bestFit="1" customWidth="1"/>
    <col min="17" max="18" width="9.28515625" bestFit="1" customWidth="1"/>
    <col min="19" max="19" width="18.42578125" bestFit="1" customWidth="1"/>
    <col min="20" max="20" width="10.28515625" bestFit="1" customWidth="1"/>
  </cols>
  <sheetData>
    <row r="1" spans="1:20" x14ac:dyDescent="0.25">
      <c r="A1" t="s">
        <v>0</v>
      </c>
      <c r="C1" t="s">
        <v>1</v>
      </c>
      <c r="E1" s="3" t="s">
        <v>7</v>
      </c>
      <c r="F1" t="s">
        <v>0</v>
      </c>
      <c r="O1" s="3" t="s">
        <v>36</v>
      </c>
      <c r="P1" t="s">
        <v>0</v>
      </c>
      <c r="S1" s="3" t="s">
        <v>29</v>
      </c>
      <c r="T1" t="s">
        <v>0</v>
      </c>
    </row>
    <row r="2" spans="1:20" x14ac:dyDescent="0.25">
      <c r="A2" s="5">
        <v>1201685.6000000001</v>
      </c>
      <c r="C2" s="5">
        <v>140.99326528217765</v>
      </c>
      <c r="E2" t="s">
        <v>4</v>
      </c>
      <c r="F2" s="5">
        <v>776318.5</v>
      </c>
      <c r="O2" t="s">
        <v>30</v>
      </c>
      <c r="P2" s="6">
        <v>0.20720394752171448</v>
      </c>
      <c r="S2" t="s">
        <v>25</v>
      </c>
      <c r="T2" s="5">
        <v>151941.29999999999</v>
      </c>
    </row>
    <row r="3" spans="1:20" x14ac:dyDescent="0.25">
      <c r="E3" t="s">
        <v>5</v>
      </c>
      <c r="F3" s="5">
        <v>425367.1</v>
      </c>
      <c r="O3" t="s">
        <v>31</v>
      </c>
      <c r="P3" s="6">
        <v>0.42265364584546899</v>
      </c>
      <c r="S3" t="s">
        <v>26</v>
      </c>
      <c r="T3" s="5">
        <v>787551.7</v>
      </c>
    </row>
    <row r="4" spans="1:20" x14ac:dyDescent="0.25">
      <c r="O4" t="s">
        <v>32</v>
      </c>
      <c r="P4" s="6">
        <v>0.37014240663281639</v>
      </c>
      <c r="S4" t="s">
        <v>27</v>
      </c>
      <c r="T4" s="5">
        <v>131477.6</v>
      </c>
    </row>
    <row r="5" spans="1:20" x14ac:dyDescent="0.25">
      <c r="A5" t="s">
        <v>2</v>
      </c>
      <c r="C5" t="s">
        <v>3</v>
      </c>
      <c r="S5" t="s">
        <v>28</v>
      </c>
      <c r="T5" s="5">
        <v>130715</v>
      </c>
    </row>
    <row r="6" spans="1:20" x14ac:dyDescent="0.25">
      <c r="A6" s="1">
        <v>1559</v>
      </c>
      <c r="C6" s="2">
        <v>3.9209198638976885</v>
      </c>
      <c r="S6" t="s">
        <v>6</v>
      </c>
      <c r="T6" s="5">
        <v>1201685.6000000001</v>
      </c>
    </row>
    <row r="7" spans="1:20" x14ac:dyDescent="0.25">
      <c r="E7" s="3" t="s">
        <v>24</v>
      </c>
      <c r="F7" t="s">
        <v>0</v>
      </c>
      <c r="H7" s="3" t="s">
        <v>0</v>
      </c>
      <c r="I7" s="3" t="s">
        <v>7</v>
      </c>
    </row>
    <row r="8" spans="1:20" x14ac:dyDescent="0.25">
      <c r="E8" t="s">
        <v>8</v>
      </c>
      <c r="F8" s="5">
        <v>81893.2</v>
      </c>
      <c r="H8" s="3" t="s">
        <v>29</v>
      </c>
      <c r="I8" t="s">
        <v>4</v>
      </c>
      <c r="J8" t="s">
        <v>5</v>
      </c>
      <c r="K8" t="s">
        <v>6</v>
      </c>
      <c r="O8" s="3" t="s">
        <v>37</v>
      </c>
      <c r="P8" t="s">
        <v>0</v>
      </c>
    </row>
    <row r="9" spans="1:20" x14ac:dyDescent="0.25">
      <c r="E9" t="s">
        <v>9</v>
      </c>
      <c r="F9" s="5">
        <v>35379.1</v>
      </c>
      <c r="H9" t="s">
        <v>25</v>
      </c>
      <c r="I9" s="5">
        <v>99815.5</v>
      </c>
      <c r="J9" s="5">
        <v>52125.8</v>
      </c>
      <c r="K9" s="5">
        <v>151941.29999999999</v>
      </c>
      <c r="O9" t="s">
        <v>33</v>
      </c>
      <c r="P9" s="5">
        <v>336399</v>
      </c>
      <c r="S9" s="3" t="s">
        <v>29</v>
      </c>
      <c r="T9" t="s">
        <v>3</v>
      </c>
    </row>
    <row r="10" spans="1:20" x14ac:dyDescent="0.25">
      <c r="E10" t="s">
        <v>10</v>
      </c>
      <c r="F10" s="5">
        <v>15596</v>
      </c>
      <c r="H10" t="s">
        <v>26</v>
      </c>
      <c r="I10" s="5">
        <v>507884.7</v>
      </c>
      <c r="J10" s="5">
        <v>279667</v>
      </c>
      <c r="K10" s="5">
        <v>787551.7</v>
      </c>
      <c r="O10" t="s">
        <v>34</v>
      </c>
      <c r="P10" s="5">
        <v>393151.5</v>
      </c>
      <c r="S10" t="s">
        <v>25</v>
      </c>
      <c r="T10" s="2">
        <v>3.9335180055401664</v>
      </c>
    </row>
    <row r="11" spans="1:20" x14ac:dyDescent="0.25">
      <c r="E11" t="s">
        <v>11</v>
      </c>
      <c r="F11" s="5">
        <v>90702.3</v>
      </c>
      <c r="H11" t="s">
        <v>27</v>
      </c>
      <c r="I11" s="5">
        <v>84844.3</v>
      </c>
      <c r="J11" s="5">
        <v>46633.3</v>
      </c>
      <c r="K11" s="5">
        <v>131477.6</v>
      </c>
      <c r="O11" t="s">
        <v>35</v>
      </c>
      <c r="P11" s="5">
        <v>472135.1</v>
      </c>
      <c r="S11" t="s">
        <v>26</v>
      </c>
      <c r="T11" s="2">
        <v>3.917339071185225</v>
      </c>
    </row>
    <row r="12" spans="1:20" x14ac:dyDescent="0.25">
      <c r="E12" t="s">
        <v>12</v>
      </c>
      <c r="F12" s="5">
        <v>101277.4</v>
      </c>
      <c r="H12" t="s">
        <v>28</v>
      </c>
      <c r="I12" s="5">
        <v>83774</v>
      </c>
      <c r="J12" s="5">
        <v>46941</v>
      </c>
      <c r="K12" s="5">
        <v>130715</v>
      </c>
      <c r="O12" t="s">
        <v>6</v>
      </c>
      <c r="P12" s="5">
        <v>1201685.6000000001</v>
      </c>
      <c r="S12" t="s">
        <v>27</v>
      </c>
      <c r="T12" s="2">
        <v>3.9342672413793105</v>
      </c>
    </row>
    <row r="13" spans="1:20" x14ac:dyDescent="0.25">
      <c r="E13" t="s">
        <v>13</v>
      </c>
      <c r="F13" s="5">
        <v>118557.7</v>
      </c>
      <c r="S13" t="s">
        <v>28</v>
      </c>
      <c r="T13" s="2">
        <v>3.9144385026737969</v>
      </c>
    </row>
    <row r="14" spans="1:20" x14ac:dyDescent="0.25">
      <c r="E14" t="s">
        <v>14</v>
      </c>
      <c r="F14" s="5">
        <v>178124.6</v>
      </c>
      <c r="S14" t="s">
        <v>6</v>
      </c>
      <c r="T14" s="2">
        <v>3.9209198638976885</v>
      </c>
    </row>
    <row r="15" spans="1:20" x14ac:dyDescent="0.25">
      <c r="E15" t="s">
        <v>15</v>
      </c>
      <c r="F15" s="5">
        <v>29335</v>
      </c>
      <c r="O15" s="3" t="s">
        <v>29</v>
      </c>
      <c r="P15" t="s">
        <v>2</v>
      </c>
      <c r="Q15" t="s">
        <v>1</v>
      </c>
    </row>
    <row r="16" spans="1:20" x14ac:dyDescent="0.25">
      <c r="E16" t="s">
        <v>16</v>
      </c>
      <c r="F16" s="5">
        <v>68026.8</v>
      </c>
      <c r="H16" s="3" t="s">
        <v>38</v>
      </c>
      <c r="I16" s="4" t="s">
        <v>0</v>
      </c>
      <c r="K16" s="3" t="s">
        <v>7</v>
      </c>
      <c r="L16" t="s">
        <v>2</v>
      </c>
      <c r="O16" t="s">
        <v>25</v>
      </c>
      <c r="P16" s="1">
        <v>901</v>
      </c>
      <c r="Q16" s="5">
        <v>140.29667590027699</v>
      </c>
    </row>
    <row r="17" spans="5:17" x14ac:dyDescent="0.25">
      <c r="E17" t="s">
        <v>17</v>
      </c>
      <c r="F17" s="5">
        <v>135976.29999999999</v>
      </c>
      <c r="H17" t="s">
        <v>39</v>
      </c>
      <c r="I17" s="5">
        <v>78132.7</v>
      </c>
      <c r="K17" t="s">
        <v>4</v>
      </c>
      <c r="L17" s="1">
        <v>1008</v>
      </c>
      <c r="M17" s="1"/>
      <c r="N17" s="1"/>
      <c r="O17" t="s">
        <v>26</v>
      </c>
      <c r="P17" s="1">
        <v>1550</v>
      </c>
      <c r="Q17" s="5">
        <v>141.21421911421911</v>
      </c>
    </row>
    <row r="18" spans="5:17" x14ac:dyDescent="0.25">
      <c r="E18" t="s">
        <v>18</v>
      </c>
      <c r="F18" s="5">
        <v>59451.199999999997</v>
      </c>
      <c r="H18" t="s">
        <v>40</v>
      </c>
      <c r="I18" s="5">
        <v>130477</v>
      </c>
      <c r="K18" t="s">
        <v>5</v>
      </c>
      <c r="L18" s="1">
        <v>551</v>
      </c>
      <c r="M18" s="1"/>
      <c r="N18" s="1"/>
      <c r="O18" t="s">
        <v>27</v>
      </c>
      <c r="P18" s="1">
        <v>928</v>
      </c>
      <c r="Q18" s="5">
        <v>141.67844827586208</v>
      </c>
    </row>
    <row r="19" spans="5:17" x14ac:dyDescent="0.25">
      <c r="E19" t="s">
        <v>19</v>
      </c>
      <c r="F19" s="5">
        <v>22452.1</v>
      </c>
      <c r="H19" t="s">
        <v>42</v>
      </c>
      <c r="I19" s="5">
        <v>131809.79999999999</v>
      </c>
      <c r="K19" t="s">
        <v>6</v>
      </c>
      <c r="L19" s="1">
        <v>1559</v>
      </c>
      <c r="M19" s="1"/>
      <c r="N19" s="1"/>
      <c r="O19" t="s">
        <v>28</v>
      </c>
      <c r="P19" s="1">
        <v>935</v>
      </c>
      <c r="Q19" s="5">
        <v>139.80213903743316</v>
      </c>
    </row>
    <row r="20" spans="5:17" x14ac:dyDescent="0.25">
      <c r="E20" t="s">
        <v>20</v>
      </c>
      <c r="F20" s="5">
        <v>9079</v>
      </c>
      <c r="H20" t="s">
        <v>43</v>
      </c>
      <c r="I20" s="5">
        <v>130942.7</v>
      </c>
      <c r="O20" t="s">
        <v>6</v>
      </c>
      <c r="P20" s="1">
        <v>1559</v>
      </c>
      <c r="Q20" s="5">
        <v>140.99326528217765</v>
      </c>
    </row>
    <row r="21" spans="5:17" x14ac:dyDescent="0.25">
      <c r="E21" t="s">
        <v>21</v>
      </c>
      <c r="F21" s="5">
        <v>175437.3</v>
      </c>
      <c r="H21" t="s">
        <v>44</v>
      </c>
      <c r="I21" s="5">
        <v>132113.4</v>
      </c>
    </row>
    <row r="22" spans="5:17" x14ac:dyDescent="0.25">
      <c r="E22" t="s">
        <v>22</v>
      </c>
      <c r="F22" s="5">
        <v>58517.2</v>
      </c>
      <c r="H22" t="s">
        <v>45</v>
      </c>
      <c r="I22" s="5">
        <v>133104</v>
      </c>
    </row>
    <row r="23" spans="5:17" x14ac:dyDescent="0.25">
      <c r="E23" t="s">
        <v>23</v>
      </c>
      <c r="F23" s="5">
        <v>21880.400000000001</v>
      </c>
      <c r="H23" t="s">
        <v>46</v>
      </c>
      <c r="I23" s="5">
        <v>204523.6</v>
      </c>
    </row>
    <row r="24" spans="5:17" x14ac:dyDescent="0.25">
      <c r="E24" t="s">
        <v>6</v>
      </c>
      <c r="F24" s="5">
        <v>1201685.6000000001</v>
      </c>
      <c r="H24" t="s">
        <v>47</v>
      </c>
      <c r="I24" s="5">
        <v>129104.8</v>
      </c>
    </row>
    <row r="25" spans="5:17" x14ac:dyDescent="0.25">
      <c r="H25" t="s">
        <v>41</v>
      </c>
      <c r="I25" s="5">
        <v>131477.6</v>
      </c>
    </row>
    <row r="26" spans="5:17" x14ac:dyDescent="0.25">
      <c r="H26" t="s">
        <v>6</v>
      </c>
      <c r="I26" s="5">
        <v>1201685.6000000001</v>
      </c>
    </row>
    <row r="28" spans="5:17" x14ac:dyDescent="0.25">
      <c r="E28" s="3" t="s">
        <v>7</v>
      </c>
      <c r="F28" t="s">
        <v>1</v>
      </c>
      <c r="H28" s="3" t="s">
        <v>7</v>
      </c>
      <c r="I28" t="s">
        <v>3</v>
      </c>
    </row>
    <row r="29" spans="5:17" x14ac:dyDescent="0.25">
      <c r="E29" t="s">
        <v>4</v>
      </c>
      <c r="F29" s="5">
        <v>140.71388435744063</v>
      </c>
      <c r="H29" t="s">
        <v>4</v>
      </c>
      <c r="I29" s="2">
        <v>3.9216965742251224</v>
      </c>
    </row>
    <row r="30" spans="5:17" x14ac:dyDescent="0.25">
      <c r="E30" t="s">
        <v>5</v>
      </c>
      <c r="F30" s="5">
        <v>141.50602129075182</v>
      </c>
      <c r="H30" t="s">
        <v>5</v>
      </c>
      <c r="I30" s="2">
        <v>3.9194943446440451</v>
      </c>
    </row>
    <row r="31" spans="5:17" x14ac:dyDescent="0.25">
      <c r="E31" t="s">
        <v>6</v>
      </c>
      <c r="F31" s="5">
        <v>140.99326528217765</v>
      </c>
      <c r="H31" t="s">
        <v>6</v>
      </c>
      <c r="I31" s="2">
        <v>3.9209198638976885</v>
      </c>
    </row>
  </sheetData>
  <pageMargins left="0.7" right="0.7" top="0.75" bottom="0.75" header="0.3" footer="0.3"/>
  <pageSetup orientation="portrait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164E4-0C56-4F34-B8E3-9DD55A33E675}">
  <dimension ref="A1"/>
  <sheetViews>
    <sheetView showGridLines="0" showRowColHeaders="0" tabSelected="1" zoomScale="78" zoomScaleNormal="73" workbookViewId="0">
      <selection activeCell="C12" sqref="C12"/>
    </sheetView>
  </sheetViews>
  <sheetFormatPr defaultRowHeight="15" x14ac:dyDescent="0.25"/>
  <cols>
    <col min="1" max="4" width="9.140625" style="7"/>
    <col min="5" max="5" width="11" style="7" customWidth="1"/>
    <col min="6" max="16384" width="9.140625" style="7"/>
  </cols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6D34-FF84-4168-86F7-D6E241C13554}">
  <dimension ref="A1"/>
  <sheetViews>
    <sheetView showGridLines="0" showRowColHeaders="0" zoomScale="78" zoomScaleNormal="73" workbookViewId="0">
      <selection activeCell="X14" sqref="X14"/>
    </sheetView>
  </sheetViews>
  <sheetFormatPr defaultRowHeight="15" x14ac:dyDescent="0.25"/>
  <cols>
    <col min="1" max="4" width="9.140625" style="7"/>
    <col min="5" max="5" width="11" style="7" customWidth="1"/>
    <col min="6" max="16384" width="9.140625" style="7"/>
  </cols>
  <sheetData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0B262-E2CE-40E1-85FB-BC2A762B0D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Dashboard 1</vt:lpstr>
      <vt:lpstr>Dashboard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Ambali</dc:creator>
  <cp:lastModifiedBy>Esther Ambali</cp:lastModifiedBy>
  <dcterms:created xsi:type="dcterms:W3CDTF">2026-01-02T23:55:24Z</dcterms:created>
  <dcterms:modified xsi:type="dcterms:W3CDTF">2026-01-11T21:53:19Z</dcterms:modified>
</cp:coreProperties>
</file>